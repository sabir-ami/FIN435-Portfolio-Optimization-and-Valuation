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055875-C243-47E1-AACA-664176BB7B01}" xr6:coauthVersionLast="44" xr6:coauthVersionMax="47" xr10:uidLastSave="{00000000-0000-0000-0000-000000000000}"/>
  <bookViews>
    <workbookView xWindow="-110" yWindow="-110" windowWidth="19420" windowHeight="10300" activeTab="11" xr2:uid="{E3EBFFD6-6A9F-4B2A-A32D-3E6640762C1E}"/>
  </bookViews>
  <sheets>
    <sheet name="Income Statement-Robi" sheetId="1" r:id="rId1"/>
    <sheet name="Balance Sheet-Robi" sheetId="2" r:id="rId2"/>
    <sheet name="Cash Flow-Robi" sheetId="3" r:id="rId3"/>
    <sheet name="Cost of Debt" sheetId="4" r:id="rId4"/>
    <sheet name="Cost of Equity" sheetId="5" r:id="rId5"/>
    <sheet name="TAX" sheetId="6" r:id="rId6"/>
    <sheet name="FCF" sheetId="7" r:id="rId7"/>
    <sheet name="CFFA" sheetId="8" r:id="rId8"/>
    <sheet name="FCFF &amp; FCFE" sheetId="9" r:id="rId9"/>
    <sheet name="FCFF Valuation" sheetId="10" r:id="rId10"/>
    <sheet name="FCFE Valuation" sheetId="11" r:id="rId11"/>
    <sheet name="DDM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2" l="1"/>
  <c r="E21" i="10" l="1"/>
  <c r="E20" i="11"/>
  <c r="E6" i="12" l="1"/>
  <c r="J14" i="12" s="1"/>
  <c r="I13" i="12"/>
  <c r="J13" i="12"/>
  <c r="K13" i="12"/>
  <c r="L13" i="12"/>
  <c r="M13" i="12"/>
  <c r="H13" i="12"/>
  <c r="I5" i="12"/>
  <c r="E8" i="12"/>
  <c r="H15" i="12" s="1"/>
  <c r="E7" i="12"/>
  <c r="E5" i="12"/>
  <c r="E4" i="12"/>
  <c r="F12" i="11"/>
  <c r="G12" i="11"/>
  <c r="H12" i="11"/>
  <c r="I12" i="11"/>
  <c r="J12" i="11"/>
  <c r="E12" i="11"/>
  <c r="E14" i="11" s="1"/>
  <c r="D7" i="11"/>
  <c r="D6" i="11"/>
  <c r="D4" i="11"/>
  <c r="H14" i="11"/>
  <c r="G14" i="11"/>
  <c r="F14" i="11"/>
  <c r="D8" i="10"/>
  <c r="F13" i="10" s="1"/>
  <c r="F15" i="10" s="1"/>
  <c r="D7" i="10"/>
  <c r="D5" i="10"/>
  <c r="E19" i="10"/>
  <c r="E18" i="10"/>
  <c r="B3" i="9"/>
  <c r="I15" i="12" l="1"/>
  <c r="J15" i="12"/>
  <c r="K15" i="12"/>
  <c r="L15" i="12"/>
  <c r="L16" i="12" s="1"/>
  <c r="M15" i="12"/>
  <c r="M16" i="12" s="1"/>
  <c r="M17" i="12" s="1"/>
  <c r="K14" i="12"/>
  <c r="M14" i="12"/>
  <c r="I14" i="12"/>
  <c r="I16" i="12" s="1"/>
  <c r="I18" i="12" s="1"/>
  <c r="K16" i="12"/>
  <c r="K18" i="12" s="1"/>
  <c r="L14" i="12"/>
  <c r="H14" i="12"/>
  <c r="H16" i="12" s="1"/>
  <c r="H18" i="12" s="1"/>
  <c r="J16" i="12"/>
  <c r="J18" i="12" s="1"/>
  <c r="J13" i="11"/>
  <c r="I14" i="11" s="1"/>
  <c r="E15" i="11" s="1"/>
  <c r="E19" i="11" s="1"/>
  <c r="J13" i="10"/>
  <c r="J14" i="10" s="1"/>
  <c r="I13" i="10"/>
  <c r="H13" i="10"/>
  <c r="H15" i="10" s="1"/>
  <c r="E13" i="10"/>
  <c r="E15" i="10" s="1"/>
  <c r="G13" i="10"/>
  <c r="G15" i="10" s="1"/>
  <c r="L18" i="12" l="1"/>
  <c r="I15" i="10"/>
  <c r="E16" i="10" s="1"/>
  <c r="E20" i="10" s="1"/>
  <c r="E3" i="9" l="1"/>
  <c r="B8" i="9"/>
  <c r="F6" i="8"/>
  <c r="B5" i="9"/>
  <c r="B4" i="9"/>
  <c r="I14" i="8"/>
  <c r="J14" i="8" s="1"/>
  <c r="K14" i="8" s="1"/>
  <c r="L14" i="8" s="1"/>
  <c r="K6" i="8"/>
  <c r="H16" i="8"/>
  <c r="H14" i="8"/>
  <c r="J4" i="8"/>
  <c r="H6" i="8"/>
  <c r="E8" i="5"/>
  <c r="E13" i="5" s="1"/>
  <c r="R6" i="5"/>
  <c r="F5" i="8"/>
  <c r="F4" i="8"/>
  <c r="H4" i="8"/>
  <c r="E15" i="5"/>
  <c r="K27" i="4"/>
  <c r="E31" i="5"/>
  <c r="F31" i="5"/>
  <c r="G31" i="5"/>
  <c r="H31" i="5"/>
  <c r="I31" i="5"/>
  <c r="E8" i="9" l="1"/>
  <c r="J16" i="8"/>
  <c r="I16" i="8"/>
  <c r="D13" i="7"/>
  <c r="D15" i="7" s="1"/>
  <c r="E7" i="6"/>
  <c r="F7" i="6"/>
  <c r="G7" i="6"/>
  <c r="H7" i="6"/>
  <c r="I7" i="6"/>
  <c r="D7" i="6"/>
  <c r="H12" i="5"/>
  <c r="E7" i="5"/>
  <c r="E33" i="5" s="1"/>
  <c r="E34" i="5" s="1"/>
  <c r="K7" i="5"/>
  <c r="L7" i="5"/>
  <c r="M7" i="5"/>
  <c r="N7" i="5"/>
  <c r="O7" i="5"/>
  <c r="J7" i="5"/>
  <c r="E6" i="5"/>
  <c r="K16" i="8" l="1"/>
  <c r="H10" i="5"/>
  <c r="H11" i="5" s="1"/>
  <c r="M14" i="8" l="1"/>
  <c r="M15" i="8" s="1"/>
  <c r="L16" i="8" s="1"/>
  <c r="H17" i="8" s="1"/>
  <c r="H18" i="8" s="1"/>
  <c r="H20" i="8" s="1"/>
  <c r="E19" i="4"/>
  <c r="F19" i="4"/>
  <c r="G19" i="4"/>
  <c r="H19" i="4"/>
  <c r="I19" i="4"/>
  <c r="D19" i="4"/>
  <c r="E12" i="4"/>
  <c r="E16" i="4" s="1"/>
  <c r="F12" i="4"/>
  <c r="F16" i="4" s="1"/>
  <c r="G12" i="4"/>
  <c r="G16" i="4" s="1"/>
  <c r="H12" i="4"/>
  <c r="H16" i="4" s="1"/>
  <c r="I12" i="4"/>
  <c r="I16" i="4" s="1"/>
  <c r="D12" i="4"/>
  <c r="D16" i="4" s="1"/>
</calcChain>
</file>

<file path=xl/sharedStrings.xml><?xml version="1.0" encoding="utf-8"?>
<sst xmlns="http://schemas.openxmlformats.org/spreadsheetml/2006/main" count="230" uniqueCount="182">
  <si>
    <t>Particulars</t>
  </si>
  <si>
    <t>Revenue</t>
  </si>
  <si>
    <t>Costs of Sales/ Cost of material and traffic charges</t>
  </si>
  <si>
    <t>Gross Profit</t>
  </si>
  <si>
    <t>Distribution expenses</t>
  </si>
  <si>
    <t>Administrative expenses</t>
  </si>
  <si>
    <t>Operation and maintenance</t>
  </si>
  <si>
    <t>Operating Profit/ (loss)</t>
  </si>
  <si>
    <t>Employee benefits expenses</t>
  </si>
  <si>
    <t>Non-Operating Income</t>
  </si>
  <si>
    <t>Finance Expenses</t>
  </si>
  <si>
    <t>Foreign Exchange gain</t>
  </si>
  <si>
    <t>Foreign Exchange Loss</t>
  </si>
  <si>
    <t>Profit / (Loss) Before Tax</t>
  </si>
  <si>
    <t>Income Tax Expense</t>
  </si>
  <si>
    <t>Profit / (loss) for the Period</t>
  </si>
  <si>
    <t>EPS</t>
  </si>
  <si>
    <t>Robi Axiata PLC - Cash Flow Statement</t>
  </si>
  <si>
    <t>Cash received from customers</t>
  </si>
  <si>
    <t>Payment to suppliers, employees and others</t>
  </si>
  <si>
    <t>Income tax paid</t>
  </si>
  <si>
    <t>Net Cash Generated from Operating Activities</t>
  </si>
  <si>
    <t>Purchase of Property, Plant &amp; Equipment</t>
  </si>
  <si>
    <t>Proceeds on Sale of Property, Plant &amp; Equipment</t>
  </si>
  <si>
    <t>Interest and insurance claim received</t>
  </si>
  <si>
    <t>Net Cash Flow from Investing Activities</t>
  </si>
  <si>
    <t>Proceeds from Loans</t>
  </si>
  <si>
    <t>Lease Repayment/Payment of financial lease obligation</t>
  </si>
  <si>
    <t>Deposit against ESPP including interest*</t>
  </si>
  <si>
    <t>Proceeds from share issuance including offer subscription</t>
  </si>
  <si>
    <t>Payment of dividend</t>
  </si>
  <si>
    <t>Payment of finance lease obligation</t>
  </si>
  <si>
    <t>Repayment of IPO refund liability</t>
  </si>
  <si>
    <t>Net Cash Flow from Financing Activities</t>
  </si>
  <si>
    <t>Net change in cash and cash equivalents</t>
  </si>
  <si>
    <t>Effect of exchange rate fluctuation on cash held</t>
  </si>
  <si>
    <t>Cash at the beginning of the period</t>
  </si>
  <si>
    <t>Cash at the end of the period</t>
  </si>
  <si>
    <t>NOCFPS</t>
  </si>
  <si>
    <t>Robi Axiata PLC - Balance Sheet</t>
  </si>
  <si>
    <t>Property Plant &amp; Equipment</t>
  </si>
  <si>
    <t>Intangible Assets</t>
  </si>
  <si>
    <t>Investments in Associates</t>
  </si>
  <si>
    <t>Right-of-use assets</t>
  </si>
  <si>
    <t>Other non-current assets</t>
  </si>
  <si>
    <t>Deferred Tax Assets</t>
  </si>
  <si>
    <t>Total Non Current Assets</t>
  </si>
  <si>
    <t>Inventory</t>
  </si>
  <si>
    <t>Trade &amp; other receivables</t>
  </si>
  <si>
    <t>Short term investments</t>
  </si>
  <si>
    <t>Cash &amp; cash equivalents</t>
  </si>
  <si>
    <t>Advance, deposits &amp; prepayments</t>
  </si>
  <si>
    <t>Employee benefits</t>
  </si>
  <si>
    <t>Total Current Assets</t>
  </si>
  <si>
    <t>Total Assets</t>
  </si>
  <si>
    <t>Stated capital</t>
  </si>
  <si>
    <t>Retained Earnings</t>
  </si>
  <si>
    <t>Reserves</t>
  </si>
  <si>
    <t>Total Equity</t>
  </si>
  <si>
    <t>Interest Bearing Borrowings to related parties</t>
  </si>
  <si>
    <t>Deferred Tax Liabilities</t>
  </si>
  <si>
    <t>Reimbursement Benefit Obligations / Employee Benefits</t>
  </si>
  <si>
    <t>Asset retirement obligation</t>
  </si>
  <si>
    <t>Accounts Payable-Non Current Liabilities</t>
  </si>
  <si>
    <t>Obligation under finances &amp; operating leases</t>
  </si>
  <si>
    <t>Other non-current liabilities</t>
  </si>
  <si>
    <t>Total Non Current Liabilities</t>
  </si>
  <si>
    <t>Trade &amp; other payables / Sundry Creditors</t>
  </si>
  <si>
    <t>Lease liabilities</t>
  </si>
  <si>
    <t>IPO refund warrant Liabilities</t>
  </si>
  <si>
    <t>Short term loans</t>
  </si>
  <si>
    <t>Interest bearing term loans</t>
  </si>
  <si>
    <t>Deposit against employee share purchase plan (ESPP)</t>
  </si>
  <si>
    <t>Tax &amp; VAT payable</t>
  </si>
  <si>
    <t>Unclaimed Dividend</t>
  </si>
  <si>
    <t>Total Current Liabilities</t>
  </si>
  <si>
    <t>Total Owners Equity &amp; Liabilities</t>
  </si>
  <si>
    <t>Book Value Per Share</t>
  </si>
  <si>
    <t>Robi Axiata PLC - Income Statement</t>
  </si>
  <si>
    <t>Cash</t>
  </si>
  <si>
    <t>ST investment</t>
  </si>
  <si>
    <t>Total Liquid asset</t>
  </si>
  <si>
    <t>ST Debt</t>
  </si>
  <si>
    <t>LT Debt</t>
  </si>
  <si>
    <t>Total debt</t>
  </si>
  <si>
    <t>Net Debt</t>
  </si>
  <si>
    <t>Interest Income</t>
  </si>
  <si>
    <t>Interest Expense</t>
  </si>
  <si>
    <t>Net Interest</t>
  </si>
  <si>
    <t>Implied cost of debt</t>
  </si>
  <si>
    <t>Interest rate earned</t>
  </si>
  <si>
    <t>Interest rate paid</t>
  </si>
  <si>
    <t>Growth Rate, g</t>
  </si>
  <si>
    <t>COE</t>
  </si>
  <si>
    <t>Assumption: set to 0 (operating FMCG business, not a financing company)</t>
  </si>
  <si>
    <t>Cost of Equity &amp; WACC</t>
  </si>
  <si>
    <t>Current Share price, Po</t>
  </si>
  <si>
    <t>Year</t>
  </si>
  <si>
    <t>Current Dividend, Divo</t>
  </si>
  <si>
    <t>Average of 6 yrs dividend per share</t>
  </si>
  <si>
    <t>DPS (Taka/share)</t>
  </si>
  <si>
    <t>Payout ratio</t>
  </si>
  <si>
    <t>Avg. payout</t>
  </si>
  <si>
    <t>Retention</t>
  </si>
  <si>
    <t>ROE</t>
  </si>
  <si>
    <t>WACC</t>
  </si>
  <si>
    <t>Total Dividend (base year, implied)</t>
  </si>
  <si>
    <t>Net Debt (2025)</t>
  </si>
  <si>
    <t>COD</t>
  </si>
  <si>
    <t>YoY growth for each year</t>
  </si>
  <si>
    <t>Div1</t>
  </si>
  <si>
    <t>Market Cap</t>
  </si>
  <si>
    <t>Tax Rate</t>
  </si>
  <si>
    <t>Firm Value</t>
  </si>
  <si>
    <t>Effective Tax Rate</t>
  </si>
  <si>
    <t>Profit Before Tax</t>
  </si>
  <si>
    <t>Income Tax Expenses</t>
  </si>
  <si>
    <t>Tax rate</t>
  </si>
  <si>
    <t>Free Cash Flow (base year 2025)</t>
  </si>
  <si>
    <t>Free cash flow before interest adjustment</t>
  </si>
  <si>
    <t>Add back after-tax net interest</t>
  </si>
  <si>
    <t>Free cash flow (FCF)</t>
  </si>
  <si>
    <t>2025</t>
  </si>
  <si>
    <t>FCF &amp; CFFA Valuation</t>
  </si>
  <si>
    <t>EBIT (2025)</t>
  </si>
  <si>
    <t>2025 base year</t>
  </si>
  <si>
    <t>OCF (calc.)</t>
  </si>
  <si>
    <t>CFFA</t>
  </si>
  <si>
    <t>FCF</t>
  </si>
  <si>
    <t>Depreciation</t>
  </si>
  <si>
    <t>NWC</t>
  </si>
  <si>
    <t>Perpetual growth rate</t>
  </si>
  <si>
    <t>CAPEX (NCS)</t>
  </si>
  <si>
    <t>Current Assets 2025</t>
  </si>
  <si>
    <t>Current Liabilities 2025</t>
  </si>
  <si>
    <t>Current Assets 2024</t>
  </si>
  <si>
    <t>Current Liabilities 2024</t>
  </si>
  <si>
    <t>Total Non-Current Assets 2025</t>
  </si>
  <si>
    <t>Total Non-Current Assets 2024</t>
  </si>
  <si>
    <t>Terminal Value</t>
  </si>
  <si>
    <t>Total CF</t>
  </si>
  <si>
    <t>Enterprise Value</t>
  </si>
  <si>
    <t>Cash &amp; equivalents</t>
  </si>
  <si>
    <t>Financial liabilities</t>
  </si>
  <si>
    <t>Equity Value</t>
  </si>
  <si>
    <t>Stock price</t>
  </si>
  <si>
    <t>Avg. historical YoY NPAT growth (2020-2025)</t>
  </si>
  <si>
    <t>Cost of Debt</t>
  </si>
  <si>
    <t>Total Dividend 2025</t>
  </si>
  <si>
    <t>Terminal</t>
  </si>
  <si>
    <t>FCFF and FCFE</t>
  </si>
  <si>
    <t>2025 Base year</t>
  </si>
  <si>
    <t>2024 Base year</t>
  </si>
  <si>
    <t>CFO</t>
  </si>
  <si>
    <t>Net debt issued</t>
  </si>
  <si>
    <t>Income tax expense</t>
  </si>
  <si>
    <t>Cash From Operations</t>
  </si>
  <si>
    <t>FCFF</t>
  </si>
  <si>
    <t>FCFE</t>
  </si>
  <si>
    <t>Growth (6-yr explicit)</t>
  </si>
  <si>
    <t>5,23,79,32,895</t>
  </si>
  <si>
    <t>number of stocks-</t>
  </si>
  <si>
    <t>*Neg means Robi repaid more debt that it raised in 2025</t>
  </si>
  <si>
    <t>Cash Capex</t>
  </si>
  <si>
    <t>FCFF Valuation</t>
  </si>
  <si>
    <t>Total Shares</t>
  </si>
  <si>
    <t>Stock Price</t>
  </si>
  <si>
    <t>FCFE Valuation</t>
  </si>
  <si>
    <t>Growth</t>
  </si>
  <si>
    <t>Equity Value (direct PV of FCFE)</t>
  </si>
  <si>
    <t>Mkt securities</t>
  </si>
  <si>
    <t>Financial lia.</t>
  </si>
  <si>
    <t>Equity value</t>
  </si>
  <si>
    <t>DDM (Gordon Growth) Valuation</t>
  </si>
  <si>
    <t>Net Profit 2025</t>
  </si>
  <si>
    <t>Avg. Net Profit Growth</t>
  </si>
  <si>
    <t>Dividends</t>
  </si>
  <si>
    <t>Dividend growth</t>
  </si>
  <si>
    <t>Net profits</t>
  </si>
  <si>
    <t>Shares</t>
  </si>
  <si>
    <t>Div/share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</si>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</sst>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,##0;\(#,##0\);\-"/>
    <numFmt numFmtId="167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Arial"/>
      <family val="2"/>
    </font>
    <font>
      <i/>
      <sz val="11"/>
      <color rgb="FF808080"/>
      <name val="Arial"/>
      <family val="2"/>
    </font>
    <font>
      <b/>
      <sz val="12"/>
      <color rgb="FFFFFFFF"/>
      <name val="Arial"/>
      <family val="2"/>
    </font>
    <font>
      <b/>
      <sz val="18"/>
      <color theme="0"/>
      <name val="Arial"/>
      <family val="2"/>
    </font>
    <font>
      <b/>
      <sz val="11"/>
      <color theme="0"/>
      <name val="Arial"/>
      <family val="2"/>
    </font>
    <font>
      <sz val="11"/>
      <name val="Segoe UI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A6"/>
        <bgColor rgb="FF00808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rgb="FF008080"/>
      </patternFill>
    </fill>
    <fill>
      <patternFill patternType="solid">
        <fgColor theme="7" tint="0.39997558519241921"/>
        <bgColor rgb="FFCCFFFF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  <xf numFmtId="9" fontId="4" fillId="0" borderId="0" applyBorder="0" applyAlignment="0" applyProtection="0"/>
  </cellStyleXfs>
  <cellXfs count="93">
    <xf numFmtId="0" fontId="0" fillId="0" borderId="0" xfId="0"/>
    <xf numFmtId="0" fontId="0" fillId="4" borderId="1" xfId="0" applyFill="1" applyBorder="1"/>
    <xf numFmtId="4" fontId="0" fillId="4" borderId="1" xfId="0" applyNumberFormat="1" applyFill="1" applyBorder="1"/>
    <xf numFmtId="4" fontId="0" fillId="0" borderId="0" xfId="0" applyNumberFormat="1"/>
    <xf numFmtId="0" fontId="7" fillId="0" borderId="0" xfId="0" applyFont="1"/>
    <xf numFmtId="0" fontId="8" fillId="0" borderId="0" xfId="0" applyFont="1"/>
    <xf numFmtId="10" fontId="8" fillId="0" borderId="0" xfId="0" applyNumberFormat="1" applyFont="1"/>
    <xf numFmtId="165" fontId="8" fillId="0" borderId="0" xfId="0" applyNumberFormat="1" applyFont="1"/>
    <xf numFmtId="0" fontId="4" fillId="0" borderId="0" xfId="2"/>
    <xf numFmtId="0" fontId="9" fillId="0" borderId="0" xfId="3"/>
    <xf numFmtId="0" fontId="0" fillId="9" borderId="1" xfId="0" applyFill="1" applyBorder="1"/>
    <xf numFmtId="4" fontId="0" fillId="9" borderId="1" xfId="0" applyNumberFormat="1" applyFill="1" applyBorder="1"/>
    <xf numFmtId="0" fontId="7" fillId="0" borderId="0" xfId="3" applyFont="1"/>
    <xf numFmtId="10" fontId="8" fillId="0" borderId="0" xfId="3" applyNumberFormat="1" applyFont="1"/>
    <xf numFmtId="165" fontId="8" fillId="0" borderId="0" xfId="3" applyNumberFormat="1" applyFont="1"/>
    <xf numFmtId="0" fontId="8" fillId="0" borderId="0" xfId="3" applyFont="1"/>
    <xf numFmtId="0" fontId="8" fillId="8" borderId="2" xfId="3" applyFont="1" applyFill="1" applyBorder="1"/>
    <xf numFmtId="165" fontId="8" fillId="8" borderId="3" xfId="3" applyNumberFormat="1" applyFont="1" applyFill="1" applyBorder="1"/>
    <xf numFmtId="0" fontId="8" fillId="8" borderId="4" xfId="3" applyFont="1" applyFill="1" applyBorder="1"/>
    <xf numFmtId="165" fontId="8" fillId="8" borderId="5" xfId="3" applyNumberFormat="1" applyFont="1" applyFill="1" applyBorder="1"/>
    <xf numFmtId="0" fontId="8" fillId="8" borderId="6" xfId="3" applyFont="1" applyFill="1" applyBorder="1"/>
    <xf numFmtId="165" fontId="8" fillId="8" borderId="7" xfId="3" applyNumberFormat="1" applyFont="1" applyFill="1" applyBorder="1"/>
    <xf numFmtId="0" fontId="10" fillId="0" borderId="0" xfId="3" applyFont="1"/>
    <xf numFmtId="4" fontId="10" fillId="0" borderId="0" xfId="3" applyNumberFormat="1" applyFont="1"/>
    <xf numFmtId="0" fontId="11" fillId="0" borderId="0" xfId="3" applyFont="1"/>
    <xf numFmtId="0" fontId="7" fillId="0" borderId="1" xfId="0" applyFont="1" applyBorder="1"/>
    <xf numFmtId="4" fontId="8" fillId="0" borderId="1" xfId="0" applyNumberFormat="1" applyFont="1" applyBorder="1"/>
    <xf numFmtId="10" fontId="8" fillId="0" borderId="1" xfId="0" applyNumberFormat="1" applyFont="1" applyBorder="1"/>
    <xf numFmtId="0" fontId="8" fillId="0" borderId="1" xfId="0" applyFont="1" applyBorder="1"/>
    <xf numFmtId="0" fontId="0" fillId="4" borderId="0" xfId="0" applyFill="1"/>
    <xf numFmtId="9" fontId="0" fillId="4" borderId="1" xfId="0" applyNumberFormat="1" applyFill="1" applyBorder="1"/>
    <xf numFmtId="0" fontId="2" fillId="11" borderId="1" xfId="0" applyFont="1" applyFill="1" applyBorder="1"/>
    <xf numFmtId="0" fontId="6" fillId="12" borderId="0" xfId="3" applyFont="1" applyFill="1" applyAlignment="1">
      <alignment vertical="center"/>
    </xf>
    <xf numFmtId="0" fontId="8" fillId="9" borderId="1" xfId="3" applyFont="1" applyFill="1" applyBorder="1"/>
    <xf numFmtId="4" fontId="8" fillId="9" borderId="1" xfId="0" applyNumberFormat="1" applyFont="1" applyFill="1" applyBorder="1"/>
    <xf numFmtId="10" fontId="7" fillId="9" borderId="1" xfId="3" applyNumberFormat="1" applyFont="1" applyFill="1" applyBorder="1"/>
    <xf numFmtId="0" fontId="7" fillId="2" borderId="1" xfId="3" applyFont="1" applyFill="1" applyBorder="1"/>
    <xf numFmtId="0" fontId="7" fillId="13" borderId="1" xfId="3" applyFont="1" applyFill="1" applyBorder="1"/>
    <xf numFmtId="0" fontId="7" fillId="13" borderId="1" xfId="3" applyFont="1" applyFill="1" applyBorder="1" applyAlignment="1">
      <alignment horizontal="right"/>
    </xf>
    <xf numFmtId="0" fontId="7" fillId="0" borderId="1" xfId="2" applyFont="1" applyBorder="1" applyAlignment="1">
      <alignment wrapText="1"/>
    </xf>
    <xf numFmtId="4" fontId="8" fillId="0" borderId="1" xfId="3" applyNumberFormat="1" applyFont="1" applyBorder="1"/>
    <xf numFmtId="0" fontId="8" fillId="6" borderId="1" xfId="0" applyFont="1" applyFill="1" applyBorder="1"/>
    <xf numFmtId="4" fontId="8" fillId="6" borderId="1" xfId="0" applyNumberFormat="1" applyFont="1" applyFill="1" applyBorder="1"/>
    <xf numFmtId="0" fontId="10" fillId="6" borderId="1" xfId="0" applyFont="1" applyFill="1" applyBorder="1"/>
    <xf numFmtId="4" fontId="10" fillId="6" borderId="1" xfId="0" applyNumberFormat="1" applyFont="1" applyFill="1" applyBorder="1"/>
    <xf numFmtId="0" fontId="7" fillId="5" borderId="1" xfId="2" applyFont="1" applyFill="1" applyBorder="1" applyAlignment="1">
      <alignment wrapText="1"/>
    </xf>
    <xf numFmtId="4" fontId="10" fillId="0" borderId="1" xfId="3" applyNumberFormat="1" applyFont="1" applyBorder="1"/>
    <xf numFmtId="0" fontId="10" fillId="9" borderId="1" xfId="0" applyFont="1" applyFill="1" applyBorder="1"/>
    <xf numFmtId="3" fontId="8" fillId="9" borderId="1" xfId="0" applyNumberFormat="1" applyFont="1" applyFill="1" applyBorder="1"/>
    <xf numFmtId="0" fontId="8" fillId="9" borderId="1" xfId="0" applyFont="1" applyFill="1" applyBorder="1"/>
    <xf numFmtId="164" fontId="8" fillId="9" borderId="1" xfId="1" applyNumberFormat="1" applyFont="1" applyFill="1" applyBorder="1"/>
    <xf numFmtId="10" fontId="8" fillId="9" borderId="1" xfId="1" applyNumberFormat="1" applyFont="1" applyFill="1" applyBorder="1"/>
    <xf numFmtId="0" fontId="8" fillId="6" borderId="0" xfId="0" applyFont="1" applyFill="1"/>
    <xf numFmtId="0" fontId="10" fillId="6" borderId="0" xfId="0" applyFont="1" applyFill="1"/>
    <xf numFmtId="10" fontId="8" fillId="6" borderId="0" xfId="0" applyNumberFormat="1" applyFont="1" applyFill="1"/>
    <xf numFmtId="165" fontId="8" fillId="6" borderId="0" xfId="0" applyNumberFormat="1" applyFont="1" applyFill="1"/>
    <xf numFmtId="164" fontId="0" fillId="0" borderId="0" xfId="0" applyNumberFormat="1"/>
    <xf numFmtId="0" fontId="2" fillId="11" borderId="0" xfId="0" applyFont="1" applyFill="1"/>
    <xf numFmtId="0" fontId="11" fillId="0" borderId="0" xfId="0" applyFont="1"/>
    <xf numFmtId="1" fontId="8" fillId="0" borderId="0" xfId="0" applyNumberFormat="1" applyFont="1"/>
    <xf numFmtId="165" fontId="7" fillId="0" borderId="0" xfId="0" applyNumberFormat="1" applyFont="1"/>
    <xf numFmtId="165" fontId="9" fillId="0" borderId="0" xfId="3" applyNumberFormat="1"/>
    <xf numFmtId="3" fontId="15" fillId="0" borderId="0" xfId="0" applyNumberFormat="1" applyFont="1"/>
    <xf numFmtId="3" fontId="16" fillId="0" borderId="0" xfId="0" applyNumberFormat="1" applyFont="1"/>
    <xf numFmtId="4" fontId="7" fillId="0" borderId="0" xfId="0" applyNumberFormat="1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3" fontId="17" fillId="14" borderId="0" xfId="0" applyNumberFormat="1" applyFont="1" applyFill="1" applyAlignment="1">
      <alignment horizontal="right" vertical="center" wrapText="1"/>
    </xf>
    <xf numFmtId="3" fontId="8" fillId="0" borderId="0" xfId="0" applyNumberFormat="1" applyFont="1"/>
    <xf numFmtId="2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12" fillId="7" borderId="1" xfId="3" applyFont="1" applyFill="1" applyBorder="1" applyAlignment="1">
      <alignment horizontal="center" vertical="center"/>
    </xf>
    <xf numFmtId="0" fontId="6" fillId="7" borderId="1" xfId="3" applyFont="1" applyFill="1" applyBorder="1" applyAlignment="1">
      <alignment horizontal="center" vertical="center"/>
    </xf>
    <xf numFmtId="0" fontId="6" fillId="7" borderId="0" xfId="3" applyFont="1" applyFill="1" applyAlignment="1">
      <alignment horizontal="center"/>
    </xf>
    <xf numFmtId="0" fontId="6" fillId="7" borderId="0" xfId="0" applyFont="1" applyFill="1"/>
  </cellXfs>
  <cellStyles count="5">
    <cellStyle name="Normal" xfId="0" builtinId="0"/>
    <cellStyle name="Normal 2" xfId="2" xr:uid="{E5039AF6-EBC4-450B-938B-83F11D5EC72F}"/>
    <cellStyle name="Normal 3" xfId="3" xr:uid="{1C83CAC5-AAD1-4A88-A8B6-322FD8A8FB13}"/>
    <cellStyle name="Per cent 2" xfId="4" xr:uid="{9CDBC3C2-A22D-49D1-9A45-54C3319FCC9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FIN%20435%20Valuation%20(Berger%20Colo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Income Statement"/>
      <sheetName val="Cost of Debt"/>
      <sheetName val="Cost of Equity"/>
      <sheetName val="Tax"/>
      <sheetName val="FCF"/>
      <sheetName val="CFFA"/>
      <sheetName val="FCFF and FCFE"/>
      <sheetName val="FCFF Val."/>
      <sheetName val="FCFE Val."/>
      <sheetName val="DDM Val."/>
    </sheetNames>
    <sheetDataSet>
      <sheetData sheetId="0">
        <row r="19">
          <cell r="D19">
            <v>130000000</v>
          </cell>
        </row>
      </sheetData>
      <sheetData sheetId="1"/>
      <sheetData sheetId="2">
        <row r="11">
          <cell r="D11">
            <v>21629000</v>
          </cell>
        </row>
      </sheetData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3812-5440-4379-84F6-31C3A09D1105}">
  <dimension ref="D4:J24"/>
  <sheetViews>
    <sheetView zoomScale="80" zoomScaleNormal="80" workbookViewId="0">
      <selection activeCell="E23" sqref="E23"/>
    </sheetView>
  </sheetViews>
  <sheetFormatPr defaultRowHeight="14.5" x14ac:dyDescent="0.35"/>
  <cols>
    <col min="4" max="4" width="47.453125" customWidth="1"/>
    <col min="5" max="10" width="17.453125" bestFit="1" customWidth="1"/>
  </cols>
  <sheetData>
    <row r="4" spans="4:10" x14ac:dyDescent="0.35">
      <c r="D4" s="82" t="s">
        <v>78</v>
      </c>
      <c r="E4" s="82"/>
      <c r="F4" s="82"/>
      <c r="G4" s="82"/>
      <c r="H4" s="82"/>
      <c r="I4" s="82"/>
      <c r="J4" s="82"/>
    </row>
    <row r="5" spans="4:10" x14ac:dyDescent="0.35">
      <c r="D5" s="82"/>
      <c r="E5" s="82"/>
      <c r="F5" s="82"/>
      <c r="G5" s="82"/>
      <c r="H5" s="82"/>
      <c r="I5" s="82"/>
      <c r="J5" s="82"/>
    </row>
    <row r="6" spans="4:10" x14ac:dyDescent="0.35">
      <c r="D6" s="82"/>
      <c r="E6" s="82"/>
      <c r="F6" s="82"/>
      <c r="G6" s="82"/>
      <c r="H6" s="82"/>
      <c r="I6" s="82"/>
      <c r="J6" s="82"/>
    </row>
    <row r="7" spans="4:10" x14ac:dyDescent="0.35">
      <c r="D7" s="81" t="s">
        <v>0</v>
      </c>
      <c r="E7" s="81">
        <v>2025</v>
      </c>
      <c r="F7" s="81">
        <v>2024</v>
      </c>
      <c r="G7" s="81">
        <v>2023</v>
      </c>
      <c r="H7" s="81">
        <v>2022</v>
      </c>
      <c r="I7" s="81">
        <v>2021</v>
      </c>
      <c r="J7" s="81">
        <v>2020</v>
      </c>
    </row>
    <row r="8" spans="4:10" x14ac:dyDescent="0.35">
      <c r="D8" s="81"/>
      <c r="E8" s="81"/>
      <c r="F8" s="81"/>
      <c r="G8" s="81"/>
      <c r="H8" s="81"/>
      <c r="I8" s="81"/>
      <c r="J8" s="81"/>
    </row>
    <row r="9" spans="4:10" x14ac:dyDescent="0.35">
      <c r="D9" s="1" t="s">
        <v>1</v>
      </c>
      <c r="E9" s="2">
        <v>99922095000</v>
      </c>
      <c r="F9" s="2">
        <v>99502359000</v>
      </c>
      <c r="G9" s="2">
        <v>99422639000</v>
      </c>
      <c r="H9" s="2">
        <v>85859740000</v>
      </c>
      <c r="I9" s="2">
        <v>81424640000</v>
      </c>
      <c r="J9" s="2">
        <v>75642696000</v>
      </c>
    </row>
    <row r="10" spans="4:10" x14ac:dyDescent="0.35">
      <c r="D10" s="1" t="s">
        <v>2</v>
      </c>
      <c r="E10" s="2">
        <v>61269089000</v>
      </c>
      <c r="F10" s="2">
        <v>58126946000</v>
      </c>
      <c r="G10" s="2">
        <v>60960393000</v>
      </c>
      <c r="H10" s="2">
        <v>53523042000</v>
      </c>
      <c r="I10" s="2">
        <v>53988125000</v>
      </c>
      <c r="J10" s="2">
        <v>47358401000</v>
      </c>
    </row>
    <row r="11" spans="4:10" x14ac:dyDescent="0.35">
      <c r="D11" s="1" t="s">
        <v>3</v>
      </c>
      <c r="E11" s="2">
        <v>36306006000</v>
      </c>
      <c r="F11" s="2">
        <v>41375413000</v>
      </c>
      <c r="G11" s="2">
        <v>38461706000</v>
      </c>
      <c r="H11" s="2">
        <v>32366998000</v>
      </c>
      <c r="I11" s="2">
        <v>27436150000</v>
      </c>
      <c r="J11" s="2">
        <v>28284295000</v>
      </c>
    </row>
    <row r="12" spans="4:10" x14ac:dyDescent="0.35">
      <c r="D12" s="1" t="s">
        <v>4</v>
      </c>
      <c r="E12" s="2">
        <v>11292438000</v>
      </c>
      <c r="F12" s="2">
        <v>13326319000</v>
      </c>
      <c r="G12" s="2">
        <v>14095350000</v>
      </c>
      <c r="H12" s="2">
        <v>12862911000</v>
      </c>
      <c r="I12" s="2">
        <v>12389783000</v>
      </c>
      <c r="J12" s="2">
        <v>11456885000</v>
      </c>
    </row>
    <row r="13" spans="4:10" x14ac:dyDescent="0.35">
      <c r="D13" s="1" t="s">
        <v>5</v>
      </c>
      <c r="E13" s="2">
        <v>5607495000</v>
      </c>
      <c r="F13" s="2">
        <v>4659228000</v>
      </c>
      <c r="G13" s="2">
        <v>4535682000</v>
      </c>
      <c r="H13" s="2">
        <v>3332784000</v>
      </c>
      <c r="I13" s="2">
        <v>3453140000</v>
      </c>
      <c r="J13" s="2">
        <v>3398000000</v>
      </c>
    </row>
    <row r="14" spans="4:10" x14ac:dyDescent="0.35">
      <c r="D14" s="1" t="s">
        <v>6</v>
      </c>
      <c r="E14" s="2">
        <v>2909040000</v>
      </c>
      <c r="F14" s="2">
        <v>1544425000</v>
      </c>
      <c r="G14" s="2">
        <v>2611579000</v>
      </c>
      <c r="H14" s="2">
        <v>2528521000</v>
      </c>
      <c r="I14" s="2">
        <v>2335954000</v>
      </c>
      <c r="J14" s="2">
        <v>2903385000</v>
      </c>
    </row>
    <row r="15" spans="4:10" x14ac:dyDescent="0.35">
      <c r="D15" s="1" t="s">
        <v>7</v>
      </c>
      <c r="E15" s="2">
        <v>18824033000</v>
      </c>
      <c r="F15" s="2">
        <v>21845441000</v>
      </c>
      <c r="G15" s="2">
        <v>17219095000</v>
      </c>
      <c r="H15" s="2">
        <v>13512482000</v>
      </c>
      <c r="I15" s="2">
        <v>9257639000</v>
      </c>
      <c r="J15" s="2">
        <v>10526025000</v>
      </c>
    </row>
    <row r="16" spans="4:10" x14ac:dyDescent="0.35">
      <c r="D16" s="1" t="s">
        <v>8</v>
      </c>
      <c r="E16" s="2">
        <v>580520000</v>
      </c>
      <c r="F16" s="2">
        <v>689946000</v>
      </c>
      <c r="G16" s="2">
        <v>455212000</v>
      </c>
      <c r="H16" s="2">
        <v>235941000</v>
      </c>
      <c r="I16" s="2">
        <v>253334000</v>
      </c>
      <c r="J16" s="2">
        <v>276334000</v>
      </c>
    </row>
    <row r="17" spans="4:10" x14ac:dyDescent="0.35">
      <c r="D17" s="1" t="s">
        <v>9</v>
      </c>
      <c r="E17" s="2">
        <v>76056000</v>
      </c>
      <c r="F17" s="2">
        <v>335651000</v>
      </c>
      <c r="G17" s="2">
        <v>278994000</v>
      </c>
      <c r="H17" s="2">
        <v>185380000</v>
      </c>
      <c r="I17" s="2">
        <v>203042000</v>
      </c>
      <c r="J17" s="2">
        <v>146088000</v>
      </c>
    </row>
    <row r="18" spans="4:10" x14ac:dyDescent="0.35">
      <c r="D18" s="1" t="s">
        <v>10</v>
      </c>
      <c r="E18" s="2">
        <v>6955017000</v>
      </c>
      <c r="F18" s="2">
        <v>7251744000</v>
      </c>
      <c r="G18" s="2">
        <v>6350684000</v>
      </c>
      <c r="H18" s="2">
        <v>5857490000</v>
      </c>
      <c r="I18" s="2">
        <v>4017381000</v>
      </c>
      <c r="J18" s="2">
        <v>4888850000</v>
      </c>
    </row>
    <row r="19" spans="4:10" x14ac:dyDescent="0.35">
      <c r="D19" s="1" t="s">
        <v>11</v>
      </c>
      <c r="E19" s="1"/>
      <c r="F19" s="1"/>
      <c r="G19" s="1"/>
      <c r="H19" s="1"/>
      <c r="I19" s="1"/>
      <c r="J19" s="2">
        <v>1677000</v>
      </c>
    </row>
    <row r="20" spans="4:10" x14ac:dyDescent="0.35">
      <c r="D20" s="1" t="s">
        <v>12</v>
      </c>
      <c r="E20" s="2">
        <v>54331000</v>
      </c>
      <c r="F20" s="2">
        <v>732921000</v>
      </c>
      <c r="G20" s="2">
        <v>1654088000</v>
      </c>
      <c r="H20" s="2">
        <v>2976716000</v>
      </c>
      <c r="I20" s="2">
        <v>224878000</v>
      </c>
      <c r="J20" s="1"/>
    </row>
    <row r="21" spans="4:10" x14ac:dyDescent="0.35">
      <c r="D21" s="1" t="s">
        <v>13</v>
      </c>
      <c r="E21" s="2">
        <v>11310221000</v>
      </c>
      <c r="F21" s="2">
        <v>13506521000</v>
      </c>
      <c r="G21" s="2">
        <v>9038005000</v>
      </c>
      <c r="H21" s="2">
        <v>4627715000</v>
      </c>
      <c r="I21" s="2">
        <v>4965088000</v>
      </c>
      <c r="J21" s="2">
        <v>5508606000</v>
      </c>
    </row>
    <row r="22" spans="4:10" x14ac:dyDescent="0.35">
      <c r="D22" s="1" t="s">
        <v>14</v>
      </c>
      <c r="E22" s="2">
        <v>1939399000</v>
      </c>
      <c r="F22" s="2">
        <v>6478724000</v>
      </c>
      <c r="G22" s="2">
        <v>5828407000</v>
      </c>
      <c r="H22" s="2">
        <v>2800516000</v>
      </c>
      <c r="I22" s="2">
        <v>3158761000</v>
      </c>
      <c r="J22" s="2">
        <v>3955291000</v>
      </c>
    </row>
    <row r="23" spans="4:10" x14ac:dyDescent="0.35">
      <c r="D23" s="1" t="s">
        <v>15</v>
      </c>
      <c r="E23" s="2">
        <v>9370822000</v>
      </c>
      <c r="F23" s="2">
        <v>7027797000</v>
      </c>
      <c r="G23" s="2">
        <v>3209598000</v>
      </c>
      <c r="H23" s="2">
        <v>1827199000</v>
      </c>
      <c r="I23" s="2">
        <v>1806327000</v>
      </c>
      <c r="J23" s="2">
        <v>1553315000</v>
      </c>
    </row>
    <row r="24" spans="4:10" x14ac:dyDescent="0.35">
      <c r="D24" s="1" t="s">
        <v>16</v>
      </c>
      <c r="E24" s="1">
        <v>1.79</v>
      </c>
      <c r="F24" s="1">
        <v>1.34</v>
      </c>
      <c r="G24" s="1">
        <v>0.61</v>
      </c>
      <c r="H24" s="1">
        <v>0.35</v>
      </c>
      <c r="I24" s="1">
        <v>0.34</v>
      </c>
      <c r="J24" s="1">
        <v>0.33</v>
      </c>
    </row>
  </sheetData>
  <mergeCells count="8">
    <mergeCell ref="J7:J8"/>
    <mergeCell ref="D4:J6"/>
    <mergeCell ref="D7:D8"/>
    <mergeCell ref="E7:E8"/>
    <mergeCell ref="F7:F8"/>
    <mergeCell ref="G7:G8"/>
    <mergeCell ref="H7:H8"/>
    <mergeCell ref="I7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4FF1-9080-42B5-812D-A95014658D56}">
  <dimension ref="C4:I50"/>
  <sheetViews>
    <sheetView topLeftCell="B1" zoomScale="80" zoomScaleNormal="80" workbookViewId="0">
      <selection activeCell="L18" sqref="L18"/>
    </sheetView>
  </sheetViews>
  <sheetFormatPr defaultRowHeight="14.5" x14ac:dyDescent="0.35"/>
  <cols>
    <col min="3" max="3" width="72.7265625" bestFit="1" customWidth="1"/>
    <col min="4" max="4" width="24.81640625" bestFit="1" customWidth="1"/>
    <col min="5" max="5" width="24" bestFit="1" customWidth="1"/>
    <col min="6" max="6" width="24.81640625" bestFit="1" customWidth="1"/>
    <col min="7" max="7" width="24.453125" bestFit="1" customWidth="1"/>
    <col min="8" max="8" width="24.81640625" bestFit="1" customWidth="1"/>
    <col min="9" max="9" width="24.453125" bestFit="1" customWidth="1"/>
  </cols>
  <sheetData>
    <row r="4" spans="3:9" x14ac:dyDescent="0.35">
      <c r="C4" s="83" t="s">
        <v>39</v>
      </c>
      <c r="D4" s="83"/>
      <c r="E4" s="83"/>
      <c r="F4" s="83"/>
      <c r="G4" s="83"/>
      <c r="H4" s="83"/>
      <c r="I4" s="83"/>
    </row>
    <row r="5" spans="3:9" ht="15" customHeight="1" x14ac:dyDescent="0.35">
      <c r="C5" s="83"/>
      <c r="D5" s="83"/>
      <c r="E5" s="83"/>
      <c r="F5" s="83"/>
      <c r="G5" s="83"/>
      <c r="H5" s="83"/>
      <c r="I5" s="83"/>
    </row>
    <row r="6" spans="3:9" ht="15" customHeight="1" x14ac:dyDescent="0.35">
      <c r="C6" s="83"/>
      <c r="D6" s="83"/>
      <c r="E6" s="83"/>
      <c r="F6" s="83"/>
      <c r="G6" s="83"/>
      <c r="H6" s="83"/>
      <c r="I6" s="83"/>
    </row>
    <row r="7" spans="3:9" ht="15" customHeight="1" x14ac:dyDescent="0.35">
      <c r="C7" s="84" t="s">
        <v>0</v>
      </c>
      <c r="D7" s="84">
        <v>2025</v>
      </c>
      <c r="E7" s="84">
        <v>2024</v>
      </c>
      <c r="F7" s="84">
        <v>2023</v>
      </c>
      <c r="G7" s="84">
        <v>2022</v>
      </c>
      <c r="H7" s="84">
        <v>2021</v>
      </c>
      <c r="I7" s="84">
        <v>2020</v>
      </c>
    </row>
    <row r="8" spans="3:9" x14ac:dyDescent="0.35">
      <c r="C8" s="84"/>
      <c r="D8" s="84"/>
      <c r="E8" s="84"/>
      <c r="F8" s="84"/>
      <c r="G8" s="84"/>
      <c r="H8" s="84"/>
      <c r="I8" s="84"/>
    </row>
    <row r="9" spans="3:9" x14ac:dyDescent="0.35">
      <c r="C9" s="47" t="s">
        <v>40</v>
      </c>
      <c r="D9" s="34">
        <v>108539701000</v>
      </c>
      <c r="E9" s="34">
        <v>113838335000</v>
      </c>
      <c r="F9" s="34">
        <v>111851614000</v>
      </c>
      <c r="G9" s="34">
        <v>108852659000</v>
      </c>
      <c r="H9" s="34">
        <v>109450354000</v>
      </c>
      <c r="I9" s="34">
        <v>107044991000</v>
      </c>
    </row>
    <row r="10" spans="3:9" x14ac:dyDescent="0.35">
      <c r="C10" s="47" t="s">
        <v>41</v>
      </c>
      <c r="D10" s="34">
        <v>35286075000</v>
      </c>
      <c r="E10" s="34">
        <v>39618960000</v>
      </c>
      <c r="F10" s="34">
        <v>48213887000</v>
      </c>
      <c r="G10" s="34">
        <v>36076067000</v>
      </c>
      <c r="H10" s="34">
        <v>42948690000</v>
      </c>
      <c r="I10" s="34">
        <v>39841489000</v>
      </c>
    </row>
    <row r="11" spans="3:9" x14ac:dyDescent="0.35">
      <c r="C11" s="47" t="s">
        <v>42</v>
      </c>
      <c r="D11" s="34">
        <v>123914000</v>
      </c>
      <c r="E11" s="34">
        <v>203705000</v>
      </c>
      <c r="F11" s="49"/>
      <c r="G11" s="49"/>
      <c r="H11" s="49"/>
      <c r="I11" s="49"/>
    </row>
    <row r="12" spans="3:9" x14ac:dyDescent="0.35">
      <c r="C12" s="47" t="s">
        <v>43</v>
      </c>
      <c r="D12" s="34">
        <v>43272049000</v>
      </c>
      <c r="E12" s="34">
        <v>34352968000</v>
      </c>
      <c r="F12" s="34">
        <v>39551073000</v>
      </c>
      <c r="G12" s="34">
        <v>31444653000</v>
      </c>
      <c r="H12" s="34">
        <v>32197773000</v>
      </c>
      <c r="I12" s="34">
        <v>27855249000</v>
      </c>
    </row>
    <row r="13" spans="3:9" x14ac:dyDescent="0.35">
      <c r="C13" s="47" t="s">
        <v>44</v>
      </c>
      <c r="D13" s="34">
        <v>2658120000</v>
      </c>
      <c r="E13" s="34">
        <v>2051743000</v>
      </c>
      <c r="F13" s="34">
        <v>3422432000</v>
      </c>
      <c r="G13" s="34">
        <v>3419827000</v>
      </c>
      <c r="H13" s="34">
        <v>3419827000</v>
      </c>
      <c r="I13" s="34">
        <v>4134113000</v>
      </c>
    </row>
    <row r="14" spans="3:9" x14ac:dyDescent="0.35">
      <c r="C14" s="47" t="s">
        <v>45</v>
      </c>
      <c r="D14" s="49"/>
      <c r="E14" s="49"/>
      <c r="F14" s="49"/>
      <c r="G14" s="34">
        <v>3211038000</v>
      </c>
      <c r="H14" s="34">
        <v>3942222000</v>
      </c>
      <c r="I14" s="34">
        <v>1052277000</v>
      </c>
    </row>
    <row r="15" spans="3:9" x14ac:dyDescent="0.35">
      <c r="C15" s="47" t="s">
        <v>46</v>
      </c>
      <c r="D15" s="34">
        <v>189879859000</v>
      </c>
      <c r="E15" s="34">
        <v>190065711000</v>
      </c>
      <c r="F15" s="34">
        <v>203039006000</v>
      </c>
      <c r="G15" s="34">
        <v>183004244000</v>
      </c>
      <c r="H15" s="34">
        <v>191958866000</v>
      </c>
      <c r="I15" s="34">
        <v>179928119000</v>
      </c>
    </row>
    <row r="16" spans="3:9" x14ac:dyDescent="0.35">
      <c r="C16" s="47" t="s">
        <v>47</v>
      </c>
      <c r="D16" s="34">
        <v>352832000</v>
      </c>
      <c r="E16" s="34">
        <v>337027000</v>
      </c>
      <c r="F16" s="34">
        <v>495282000</v>
      </c>
      <c r="G16" s="34">
        <v>503914000</v>
      </c>
      <c r="H16" s="34">
        <v>350814000</v>
      </c>
      <c r="I16" s="34">
        <v>155881000</v>
      </c>
    </row>
    <row r="17" spans="3:9" x14ac:dyDescent="0.35">
      <c r="C17" s="47" t="s">
        <v>48</v>
      </c>
      <c r="D17" s="34">
        <v>8399445000</v>
      </c>
      <c r="E17" s="34">
        <v>8110998000</v>
      </c>
      <c r="F17" s="34">
        <v>7709877000</v>
      </c>
      <c r="G17" s="34">
        <v>7383411000</v>
      </c>
      <c r="H17" s="34">
        <v>8146611000</v>
      </c>
      <c r="I17" s="34">
        <v>7365644000</v>
      </c>
    </row>
    <row r="18" spans="3:9" x14ac:dyDescent="0.35">
      <c r="C18" s="47" t="s">
        <v>49</v>
      </c>
      <c r="D18" s="34">
        <v>223249000</v>
      </c>
      <c r="E18" s="34">
        <v>388130000</v>
      </c>
      <c r="F18" s="34">
        <v>379700000</v>
      </c>
      <c r="G18" s="34">
        <v>373452000</v>
      </c>
      <c r="H18" s="34">
        <v>389848000</v>
      </c>
      <c r="I18" s="34">
        <v>383008000</v>
      </c>
    </row>
    <row r="19" spans="3:9" x14ac:dyDescent="0.35">
      <c r="C19" s="47" t="s">
        <v>50</v>
      </c>
      <c r="D19" s="34">
        <v>2421440000</v>
      </c>
      <c r="E19" s="34">
        <v>2618657000</v>
      </c>
      <c r="F19" s="34">
        <v>3535725000</v>
      </c>
      <c r="G19" s="34">
        <v>3563406000</v>
      </c>
      <c r="H19" s="34">
        <v>4918491000</v>
      </c>
      <c r="I19" s="34">
        <v>9469879000</v>
      </c>
    </row>
    <row r="20" spans="3:9" x14ac:dyDescent="0.35">
      <c r="C20" s="47" t="s">
        <v>51</v>
      </c>
      <c r="D20" s="34">
        <v>4634242000</v>
      </c>
      <c r="E20" s="34">
        <v>5432211000</v>
      </c>
      <c r="F20" s="34">
        <v>3277972000</v>
      </c>
      <c r="G20" s="34">
        <v>4725653000</v>
      </c>
      <c r="H20" s="34">
        <v>1849736000</v>
      </c>
      <c r="I20" s="34">
        <v>2182327000</v>
      </c>
    </row>
    <row r="21" spans="3:9" x14ac:dyDescent="0.35">
      <c r="C21" s="47" t="s">
        <v>52</v>
      </c>
      <c r="D21" s="34">
        <v>75758000</v>
      </c>
      <c r="E21" s="34">
        <v>219373000</v>
      </c>
      <c r="F21" s="34">
        <v>566095000</v>
      </c>
      <c r="G21" s="34">
        <v>191006000</v>
      </c>
      <c r="H21" s="49"/>
      <c r="I21" s="49"/>
    </row>
    <row r="22" spans="3:9" x14ac:dyDescent="0.35">
      <c r="C22" s="47" t="s">
        <v>53</v>
      </c>
      <c r="D22" s="34">
        <v>16106966000</v>
      </c>
      <c r="E22" s="34">
        <v>17106396000</v>
      </c>
      <c r="F22" s="34">
        <v>15964651000</v>
      </c>
      <c r="G22" s="34">
        <v>16740842000</v>
      </c>
      <c r="H22" s="34">
        <v>15635500000</v>
      </c>
      <c r="I22" s="34">
        <v>19536739000</v>
      </c>
    </row>
    <row r="23" spans="3:9" x14ac:dyDescent="0.35">
      <c r="C23" s="47" t="s">
        <v>54</v>
      </c>
      <c r="D23" s="34">
        <v>205986825000</v>
      </c>
      <c r="E23" s="34">
        <v>207172107000</v>
      </c>
      <c r="F23" s="34">
        <v>219003657000</v>
      </c>
      <c r="G23" s="34">
        <v>199745086000</v>
      </c>
      <c r="H23" s="34">
        <v>207594366000</v>
      </c>
      <c r="I23" s="34">
        <v>199464858000</v>
      </c>
    </row>
    <row r="24" spans="3:9" x14ac:dyDescent="0.35">
      <c r="C24" s="47" t="s">
        <v>55</v>
      </c>
      <c r="D24" s="34">
        <v>52379329000</v>
      </c>
      <c r="E24" s="34">
        <v>52379329000</v>
      </c>
      <c r="F24" s="34">
        <v>52379329000</v>
      </c>
      <c r="G24" s="34">
        <v>52379329000</v>
      </c>
      <c r="H24" s="34">
        <v>52379329000</v>
      </c>
      <c r="I24" s="34">
        <v>52379329000</v>
      </c>
    </row>
    <row r="25" spans="3:9" x14ac:dyDescent="0.35">
      <c r="C25" s="47" t="s">
        <v>56</v>
      </c>
      <c r="D25" s="34">
        <v>10813827000</v>
      </c>
      <c r="E25" s="34">
        <v>9463294000</v>
      </c>
      <c r="F25" s="34">
        <v>7774186000</v>
      </c>
      <c r="G25" s="34">
        <v>8084815000</v>
      </c>
      <c r="H25" s="34">
        <v>7165837000</v>
      </c>
      <c r="I25" s="34">
        <v>6914405000</v>
      </c>
    </row>
    <row r="26" spans="3:9" x14ac:dyDescent="0.35">
      <c r="C26" s="47" t="s">
        <v>57</v>
      </c>
      <c r="D26" s="34">
        <v>6662397000</v>
      </c>
      <c r="E26" s="34">
        <v>6662397000</v>
      </c>
      <c r="F26" s="34">
        <v>6662397000</v>
      </c>
      <c r="G26" s="34">
        <v>6662397000</v>
      </c>
      <c r="H26" s="34">
        <v>6662397000</v>
      </c>
      <c r="I26" s="34">
        <v>6662397000</v>
      </c>
    </row>
    <row r="27" spans="3:9" x14ac:dyDescent="0.35">
      <c r="C27" s="47" t="s">
        <v>58</v>
      </c>
      <c r="D27" s="34">
        <v>69855553000</v>
      </c>
      <c r="E27" s="34">
        <v>68505020000</v>
      </c>
      <c r="F27" s="34">
        <v>66815912000</v>
      </c>
      <c r="G27" s="34">
        <v>67126541000</v>
      </c>
      <c r="H27" s="34">
        <v>66207563000</v>
      </c>
      <c r="I27" s="34">
        <v>65956131000</v>
      </c>
    </row>
    <row r="28" spans="3:9" x14ac:dyDescent="0.35">
      <c r="C28" s="47" t="s">
        <v>59</v>
      </c>
      <c r="D28" s="49"/>
      <c r="E28" s="49"/>
      <c r="F28" s="34">
        <v>7641195000</v>
      </c>
      <c r="G28" s="34">
        <v>10085541000</v>
      </c>
      <c r="H28" s="34">
        <v>8079635000</v>
      </c>
      <c r="I28" s="34">
        <v>10353244000</v>
      </c>
    </row>
    <row r="29" spans="3:9" x14ac:dyDescent="0.35">
      <c r="C29" s="47" t="s">
        <v>60</v>
      </c>
      <c r="D29" s="34">
        <v>3235517000</v>
      </c>
      <c r="E29" s="34">
        <v>5130295000</v>
      </c>
      <c r="F29" s="34">
        <v>437886000</v>
      </c>
      <c r="G29" s="49"/>
      <c r="H29" s="49"/>
      <c r="I29" s="49"/>
    </row>
    <row r="30" spans="3:9" x14ac:dyDescent="0.35">
      <c r="C30" s="47" t="s">
        <v>61</v>
      </c>
      <c r="D30" s="49"/>
      <c r="E30" s="49"/>
      <c r="F30" s="49"/>
      <c r="G30" s="49"/>
      <c r="H30" s="34">
        <v>20155000</v>
      </c>
      <c r="I30" s="34">
        <v>361702000</v>
      </c>
    </row>
    <row r="31" spans="3:9" x14ac:dyDescent="0.35">
      <c r="C31" s="47" t="s">
        <v>62</v>
      </c>
      <c r="D31" s="34">
        <v>169153000</v>
      </c>
      <c r="E31" s="34">
        <v>168549000</v>
      </c>
      <c r="F31" s="34">
        <v>526988000</v>
      </c>
      <c r="G31" s="34">
        <v>479416000</v>
      </c>
      <c r="H31" s="34">
        <v>557833000</v>
      </c>
      <c r="I31" s="34">
        <v>405099000</v>
      </c>
    </row>
    <row r="32" spans="3:9" x14ac:dyDescent="0.35">
      <c r="C32" s="47" t="s">
        <v>63</v>
      </c>
      <c r="D32" s="34">
        <v>16473650000</v>
      </c>
      <c r="E32" s="34">
        <v>16368111000</v>
      </c>
      <c r="F32" s="34">
        <v>22469332000</v>
      </c>
      <c r="G32" s="34">
        <v>8968041000</v>
      </c>
      <c r="H32" s="34">
        <v>14435881000</v>
      </c>
      <c r="I32" s="34">
        <v>12199599000</v>
      </c>
    </row>
    <row r="33" spans="3:9" x14ac:dyDescent="0.35">
      <c r="C33" s="47" t="s">
        <v>64</v>
      </c>
      <c r="D33" s="34">
        <v>46048819000</v>
      </c>
      <c r="E33" s="34">
        <v>36171842000</v>
      </c>
      <c r="F33" s="34">
        <v>41595299000</v>
      </c>
      <c r="G33" s="34">
        <v>36968382000</v>
      </c>
      <c r="H33" s="34">
        <v>37273308000</v>
      </c>
      <c r="I33" s="34">
        <v>32497180000</v>
      </c>
    </row>
    <row r="34" spans="3:9" x14ac:dyDescent="0.35">
      <c r="C34" s="47" t="s">
        <v>65</v>
      </c>
      <c r="D34" s="34">
        <v>5128345000</v>
      </c>
      <c r="E34" s="34">
        <v>5128345000</v>
      </c>
      <c r="F34" s="34">
        <v>3937312000</v>
      </c>
      <c r="G34" s="34">
        <v>4148011000</v>
      </c>
      <c r="H34" s="34">
        <v>4717328000</v>
      </c>
      <c r="I34" s="34">
        <v>3891548000</v>
      </c>
    </row>
    <row r="35" spans="3:9" x14ac:dyDescent="0.35">
      <c r="C35" s="47" t="s">
        <v>66</v>
      </c>
      <c r="D35" s="34">
        <v>71055484000</v>
      </c>
      <c r="E35" s="34">
        <v>62967142000</v>
      </c>
      <c r="F35" s="34">
        <v>76607592000</v>
      </c>
      <c r="G35" s="34">
        <v>60649391000</v>
      </c>
      <c r="H35" s="34">
        <v>65084140000</v>
      </c>
      <c r="I35" s="34">
        <v>59708372000</v>
      </c>
    </row>
    <row r="36" spans="3:9" x14ac:dyDescent="0.35">
      <c r="C36" s="47" t="s">
        <v>67</v>
      </c>
      <c r="D36" s="34">
        <v>49977847000</v>
      </c>
      <c r="E36" s="34">
        <v>50076833000</v>
      </c>
      <c r="F36" s="34">
        <v>54394327000</v>
      </c>
      <c r="G36" s="34">
        <v>52220381000</v>
      </c>
      <c r="H36" s="34">
        <v>54670164000</v>
      </c>
      <c r="I36" s="34">
        <v>52117136000</v>
      </c>
    </row>
    <row r="37" spans="3:9" x14ac:dyDescent="0.35">
      <c r="C37" s="47" t="s">
        <v>68</v>
      </c>
      <c r="D37" s="34">
        <v>3288983000</v>
      </c>
      <c r="E37" s="34">
        <v>6679753000</v>
      </c>
      <c r="F37" s="34">
        <v>4316194000</v>
      </c>
      <c r="G37" s="34">
        <v>2852904000</v>
      </c>
      <c r="H37" s="34">
        <v>2480806000</v>
      </c>
      <c r="I37" s="34">
        <v>1919578000</v>
      </c>
    </row>
    <row r="38" spans="3:9" x14ac:dyDescent="0.35">
      <c r="C38" s="47" t="s">
        <v>69</v>
      </c>
      <c r="D38" s="49"/>
      <c r="E38" s="49"/>
      <c r="F38" s="49"/>
      <c r="G38" s="49"/>
      <c r="H38" s="49"/>
      <c r="I38" s="34">
        <v>106284000</v>
      </c>
    </row>
    <row r="39" spans="3:9" x14ac:dyDescent="0.35">
      <c r="C39" s="47" t="s">
        <v>70</v>
      </c>
      <c r="D39" s="34">
        <v>20028000</v>
      </c>
      <c r="E39" s="34">
        <v>7700399000</v>
      </c>
      <c r="F39" s="34">
        <v>3849898000</v>
      </c>
      <c r="G39" s="34">
        <v>3738585000</v>
      </c>
      <c r="H39" s="34">
        <v>8094752000</v>
      </c>
      <c r="I39" s="34">
        <v>11543889000</v>
      </c>
    </row>
    <row r="40" spans="3:9" x14ac:dyDescent="0.35">
      <c r="C40" s="47" t="s">
        <v>71</v>
      </c>
      <c r="D40" s="49"/>
      <c r="E40" s="34">
        <v>1997792000</v>
      </c>
      <c r="F40" s="34">
        <v>2987545000</v>
      </c>
      <c r="G40" s="34">
        <v>3568645000</v>
      </c>
      <c r="H40" s="34">
        <v>1702242000</v>
      </c>
      <c r="I40" s="34">
        <v>2439961000</v>
      </c>
    </row>
    <row r="41" spans="3:9" x14ac:dyDescent="0.35">
      <c r="C41" s="47" t="s">
        <v>72</v>
      </c>
      <c r="D41" s="49"/>
      <c r="E41" s="49"/>
      <c r="F41" s="49"/>
      <c r="G41" s="49"/>
      <c r="H41" s="49"/>
      <c r="I41" s="34">
        <v>65274000</v>
      </c>
    </row>
    <row r="42" spans="3:9" x14ac:dyDescent="0.35">
      <c r="C42" s="47" t="s">
        <v>73</v>
      </c>
      <c r="D42" s="34">
        <v>11713428000</v>
      </c>
      <c r="E42" s="34">
        <v>9185958000</v>
      </c>
      <c r="F42" s="34">
        <v>9972861000</v>
      </c>
      <c r="G42" s="34">
        <v>9558625000</v>
      </c>
      <c r="H42" s="34">
        <v>9342585000</v>
      </c>
      <c r="I42" s="34">
        <v>5608233000</v>
      </c>
    </row>
    <row r="43" spans="3:9" x14ac:dyDescent="0.35">
      <c r="C43" s="47" t="s">
        <v>74</v>
      </c>
      <c r="D43" s="34">
        <v>75502000</v>
      </c>
      <c r="E43" s="34">
        <v>59210000</v>
      </c>
      <c r="F43" s="34">
        <v>59108000</v>
      </c>
      <c r="G43" s="34">
        <v>30014000</v>
      </c>
      <c r="H43" s="34">
        <v>12114000</v>
      </c>
      <c r="I43" s="49"/>
    </row>
    <row r="44" spans="3:9" x14ac:dyDescent="0.35">
      <c r="C44" s="47" t="s">
        <v>75</v>
      </c>
      <c r="D44" s="34">
        <v>65075788000</v>
      </c>
      <c r="E44" s="34">
        <v>75699945000</v>
      </c>
      <c r="F44" s="34">
        <v>75759753000</v>
      </c>
      <c r="G44" s="34">
        <v>71969154000</v>
      </c>
      <c r="H44" s="34">
        <v>76302663000</v>
      </c>
      <c r="I44" s="34">
        <v>73800355000</v>
      </c>
    </row>
    <row r="45" spans="3:9" x14ac:dyDescent="0.35">
      <c r="C45" s="47" t="s">
        <v>76</v>
      </c>
      <c r="D45" s="34">
        <v>205986825000</v>
      </c>
      <c r="E45" s="34">
        <v>207172107000</v>
      </c>
      <c r="F45" s="34">
        <v>219003657000</v>
      </c>
      <c r="G45" s="34">
        <v>199745086000</v>
      </c>
      <c r="H45" s="34">
        <v>207594366000</v>
      </c>
      <c r="I45" s="34">
        <v>199464858000</v>
      </c>
    </row>
    <row r="46" spans="3:9" x14ac:dyDescent="0.35">
      <c r="C46" s="47" t="s">
        <v>77</v>
      </c>
      <c r="D46" s="49">
        <v>13.34</v>
      </c>
      <c r="E46" s="49">
        <v>13.08</v>
      </c>
      <c r="F46" s="49">
        <v>12.76</v>
      </c>
      <c r="G46" s="49">
        <v>12.82</v>
      </c>
      <c r="H46" s="49">
        <v>12.64</v>
      </c>
      <c r="I46" s="49">
        <v>13.9</v>
      </c>
    </row>
    <row r="50" spans="4:9" x14ac:dyDescent="0.35">
      <c r="D50" s="3"/>
      <c r="E50" s="3"/>
      <c r="F50" s="3"/>
      <c r="G50" s="3"/>
      <c r="H50" s="3"/>
      <c r="I50" s="3"/>
    </row>
  </sheetData>
  <mergeCells count="8">
    <mergeCell ref="C4:I6"/>
    <mergeCell ref="C7:C8"/>
    <mergeCell ref="D7:D8"/>
    <mergeCell ref="E7:E8"/>
    <mergeCell ref="F7:F8"/>
    <mergeCell ref="G7:G8"/>
    <mergeCell ref="H7:H8"/>
    <mergeCell ref="I7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FCAD-0CBD-4D01-92C8-2AD5B5533A69}">
  <dimension ref="C5:I30"/>
  <sheetViews>
    <sheetView topLeftCell="B4" zoomScale="80" zoomScaleNormal="80" workbookViewId="0">
      <selection activeCell="D19" sqref="D19"/>
    </sheetView>
  </sheetViews>
  <sheetFormatPr defaultRowHeight="14.5" x14ac:dyDescent="0.35"/>
  <cols>
    <col min="3" max="3" width="69.54296875" bestFit="1" customWidth="1"/>
    <col min="4" max="9" width="21" bestFit="1" customWidth="1"/>
  </cols>
  <sheetData>
    <row r="5" spans="3:9" x14ac:dyDescent="0.35">
      <c r="C5" s="82" t="s">
        <v>17</v>
      </c>
      <c r="D5" s="82"/>
      <c r="E5" s="82"/>
      <c r="F5" s="82"/>
      <c r="G5" s="82"/>
      <c r="H5" s="82"/>
      <c r="I5" s="82"/>
    </row>
    <row r="6" spans="3:9" x14ac:dyDescent="0.35">
      <c r="C6" s="82"/>
      <c r="D6" s="82"/>
      <c r="E6" s="82"/>
      <c r="F6" s="82"/>
      <c r="G6" s="82"/>
      <c r="H6" s="82"/>
      <c r="I6" s="82"/>
    </row>
    <row r="7" spans="3:9" x14ac:dyDescent="0.35">
      <c r="C7" s="82"/>
      <c r="D7" s="82"/>
      <c r="E7" s="82"/>
      <c r="F7" s="82"/>
      <c r="G7" s="82"/>
      <c r="H7" s="82"/>
      <c r="I7" s="82"/>
    </row>
    <row r="8" spans="3:9" x14ac:dyDescent="0.35">
      <c r="C8" s="81" t="s">
        <v>0</v>
      </c>
      <c r="D8" s="81">
        <v>2025</v>
      </c>
      <c r="E8" s="81">
        <v>2024</v>
      </c>
      <c r="F8" s="81">
        <v>2023</v>
      </c>
      <c r="G8" s="81">
        <v>2022</v>
      </c>
      <c r="H8" s="81">
        <v>2021</v>
      </c>
      <c r="I8" s="81">
        <v>2020</v>
      </c>
    </row>
    <row r="9" spans="3:9" x14ac:dyDescent="0.35">
      <c r="C9" s="81"/>
      <c r="D9" s="81"/>
      <c r="E9" s="81"/>
      <c r="F9" s="81"/>
      <c r="G9" s="81"/>
      <c r="H9" s="81"/>
      <c r="I9" s="81"/>
    </row>
    <row r="10" spans="3:9" x14ac:dyDescent="0.35">
      <c r="C10" s="10" t="s">
        <v>18</v>
      </c>
      <c r="D10" s="11">
        <v>134473768000</v>
      </c>
      <c r="E10" s="11">
        <v>132291747000</v>
      </c>
      <c r="F10" s="11">
        <v>121414932000</v>
      </c>
      <c r="G10" s="11">
        <v>105212318000</v>
      </c>
      <c r="H10" s="11">
        <v>97790015000</v>
      </c>
      <c r="I10" s="11">
        <v>89794815000</v>
      </c>
    </row>
    <row r="11" spans="3:9" x14ac:dyDescent="0.35">
      <c r="C11" s="10" t="s">
        <v>19</v>
      </c>
      <c r="D11" s="11">
        <v>-39145477000</v>
      </c>
      <c r="E11" s="11">
        <v>-38883399000</v>
      </c>
      <c r="F11" s="11">
        <v>-39072081000</v>
      </c>
      <c r="G11" s="11">
        <v>-35536161000</v>
      </c>
      <c r="H11" s="11">
        <v>-34489246000</v>
      </c>
      <c r="I11" s="11">
        <v>-39137322000</v>
      </c>
    </row>
    <row r="12" spans="3:9" x14ac:dyDescent="0.35">
      <c r="C12" s="10" t="s">
        <v>20</v>
      </c>
      <c r="D12" s="11">
        <v>-47992105000</v>
      </c>
      <c r="E12" s="11">
        <v>-47176865000</v>
      </c>
      <c r="F12" s="11">
        <v>-41542193000</v>
      </c>
      <c r="G12" s="11">
        <v>-32401636000</v>
      </c>
      <c r="H12" s="11">
        <v>-30740189000</v>
      </c>
      <c r="I12" s="11">
        <v>-25199040000</v>
      </c>
    </row>
    <row r="13" spans="3:9" x14ac:dyDescent="0.35">
      <c r="C13" s="10" t="s">
        <v>21</v>
      </c>
      <c r="D13" s="11">
        <v>47336186000</v>
      </c>
      <c r="E13" s="11">
        <v>46231483000</v>
      </c>
      <c r="F13" s="11">
        <v>40800658000</v>
      </c>
      <c r="G13" s="11">
        <v>37274521000</v>
      </c>
      <c r="H13" s="11">
        <v>32560580000</v>
      </c>
      <c r="I13" s="11">
        <v>25458453000</v>
      </c>
    </row>
    <row r="14" spans="3:9" x14ac:dyDescent="0.35">
      <c r="C14" s="10" t="s">
        <v>22</v>
      </c>
      <c r="D14" s="11">
        <v>-16708368000</v>
      </c>
      <c r="E14" s="11">
        <v>-28377516000</v>
      </c>
      <c r="F14" s="11">
        <v>-23998443000</v>
      </c>
      <c r="G14" s="11">
        <v>-28437012000</v>
      </c>
      <c r="H14" s="11">
        <v>-23940283000</v>
      </c>
      <c r="I14" s="11">
        <v>-21184349000</v>
      </c>
    </row>
    <row r="15" spans="3:9" x14ac:dyDescent="0.35">
      <c r="C15" s="10" t="s">
        <v>23</v>
      </c>
      <c r="D15" s="11">
        <v>17980000</v>
      </c>
      <c r="E15" s="11">
        <v>87746000</v>
      </c>
      <c r="F15" s="11">
        <v>57421000</v>
      </c>
      <c r="G15" s="11">
        <v>82178000</v>
      </c>
      <c r="H15" s="11">
        <v>12650000</v>
      </c>
      <c r="I15" s="11">
        <v>45187000</v>
      </c>
    </row>
    <row r="16" spans="3:9" x14ac:dyDescent="0.35">
      <c r="C16" s="10" t="s">
        <v>24</v>
      </c>
      <c r="D16" s="11">
        <v>145106000</v>
      </c>
      <c r="E16" s="11">
        <v>93949000</v>
      </c>
      <c r="F16" s="11">
        <v>218163000</v>
      </c>
      <c r="G16" s="11">
        <v>91558000</v>
      </c>
      <c r="H16" s="11">
        <v>120271000</v>
      </c>
      <c r="I16" s="11">
        <v>108399000</v>
      </c>
    </row>
    <row r="17" spans="3:9" x14ac:dyDescent="0.35">
      <c r="C17" s="10" t="s">
        <v>25</v>
      </c>
      <c r="D17" s="11">
        <v>-16545282000</v>
      </c>
      <c r="E17" s="11">
        <v>-28195821000</v>
      </c>
      <c r="F17" s="11">
        <v>-23722859000</v>
      </c>
      <c r="G17" s="11">
        <v>-28263276000</v>
      </c>
      <c r="H17" s="11">
        <v>-23807362000</v>
      </c>
      <c r="I17" s="11">
        <v>-21030763000</v>
      </c>
    </row>
    <row r="18" spans="3:9" x14ac:dyDescent="0.35">
      <c r="C18" s="10" t="s">
        <v>26</v>
      </c>
      <c r="D18" s="11">
        <v>22590790000</v>
      </c>
      <c r="E18" s="11">
        <v>25864000000</v>
      </c>
      <c r="F18" s="11">
        <v>9002000000</v>
      </c>
      <c r="G18" s="11">
        <v>18234000000</v>
      </c>
      <c r="H18" s="11">
        <v>31368551000</v>
      </c>
      <c r="I18" s="11">
        <v>44972955000</v>
      </c>
    </row>
    <row r="19" spans="3:9" x14ac:dyDescent="0.35">
      <c r="C19" s="10" t="s">
        <v>27</v>
      </c>
      <c r="D19" s="11">
        <v>-33308664000</v>
      </c>
      <c r="E19" s="11">
        <v>-32580733000</v>
      </c>
      <c r="F19" s="11">
        <v>-14087626000</v>
      </c>
      <c r="G19" s="11">
        <v>-21276897000</v>
      </c>
      <c r="H19" s="11">
        <v>-38389648000</v>
      </c>
      <c r="I19" s="11">
        <v>-43542030000</v>
      </c>
    </row>
    <row r="20" spans="3:9" x14ac:dyDescent="0.35">
      <c r="C20" s="10" t="s">
        <v>28</v>
      </c>
      <c r="D20" s="10"/>
      <c r="E20" s="10"/>
      <c r="F20" s="10"/>
      <c r="G20" s="10"/>
      <c r="H20" s="10"/>
      <c r="I20" s="11">
        <v>65002000</v>
      </c>
    </row>
    <row r="21" spans="3:9" x14ac:dyDescent="0.35">
      <c r="C21" s="10" t="s">
        <v>29</v>
      </c>
      <c r="D21" s="10"/>
      <c r="E21" s="10"/>
      <c r="F21" s="10"/>
      <c r="G21" s="10"/>
      <c r="H21" s="10"/>
      <c r="I21" s="11">
        <v>3987452000</v>
      </c>
    </row>
    <row r="22" spans="3:9" x14ac:dyDescent="0.35">
      <c r="C22" s="10" t="s">
        <v>30</v>
      </c>
      <c r="D22" s="11">
        <v>-7842180000</v>
      </c>
      <c r="E22" s="11">
        <v>-4461803000</v>
      </c>
      <c r="F22" s="11">
        <v>-4310863000</v>
      </c>
      <c r="G22" s="11">
        <v>-1039130000</v>
      </c>
      <c r="H22" s="11">
        <v>-364602000</v>
      </c>
      <c r="I22" s="10"/>
    </row>
    <row r="23" spans="3:9" x14ac:dyDescent="0.35">
      <c r="C23" s="10" t="s">
        <v>31</v>
      </c>
      <c r="D23" s="11">
        <v>-12427718000</v>
      </c>
      <c r="E23" s="11">
        <v>-7810785000</v>
      </c>
      <c r="F23" s="11">
        <v>-7762222000</v>
      </c>
      <c r="G23" s="11">
        <v>-6286555000</v>
      </c>
      <c r="H23" s="11">
        <v>-5812917000</v>
      </c>
      <c r="I23" s="11">
        <v>-4958216000</v>
      </c>
    </row>
    <row r="24" spans="3:9" x14ac:dyDescent="0.35">
      <c r="C24" s="10" t="s">
        <v>32</v>
      </c>
      <c r="D24" s="10"/>
      <c r="E24" s="10"/>
      <c r="F24" s="10"/>
      <c r="G24" s="10"/>
      <c r="H24" s="11">
        <v>-105899000</v>
      </c>
      <c r="I24" s="10"/>
    </row>
    <row r="25" spans="3:9" x14ac:dyDescent="0.35">
      <c r="C25" s="10" t="s">
        <v>33</v>
      </c>
      <c r="D25" s="11">
        <v>-30987772000</v>
      </c>
      <c r="E25" s="11">
        <v>-18989121000</v>
      </c>
      <c r="F25" s="11">
        <v>-17158711000</v>
      </c>
      <c r="G25" s="11">
        <v>-10368583000</v>
      </c>
      <c r="H25" s="11">
        <v>-13304515000</v>
      </c>
      <c r="I25" s="11">
        <v>525163000</v>
      </c>
    </row>
    <row r="26" spans="3:9" x14ac:dyDescent="0.35">
      <c r="C26" s="10" t="s">
        <v>34</v>
      </c>
      <c r="D26" s="11">
        <v>-196868000</v>
      </c>
      <c r="E26" s="11">
        <v>-953459000</v>
      </c>
      <c r="F26" s="11">
        <v>-80912000</v>
      </c>
      <c r="G26" s="11">
        <v>-1357336000</v>
      </c>
      <c r="H26" s="11">
        <v>-4551297000</v>
      </c>
      <c r="I26" s="11">
        <v>4952853000</v>
      </c>
    </row>
    <row r="27" spans="3:9" x14ac:dyDescent="0.35">
      <c r="C27" s="10" t="s">
        <v>35</v>
      </c>
      <c r="D27" s="11">
        <v>-349000</v>
      </c>
      <c r="E27" s="11">
        <v>36390000</v>
      </c>
      <c r="F27" s="11">
        <v>53231000</v>
      </c>
      <c r="G27" s="11">
        <v>2253000</v>
      </c>
      <c r="H27" s="11">
        <v>-91000</v>
      </c>
      <c r="I27" s="10"/>
    </row>
    <row r="28" spans="3:9" x14ac:dyDescent="0.35">
      <c r="C28" s="10" t="s">
        <v>36</v>
      </c>
      <c r="D28" s="11">
        <v>2618657000</v>
      </c>
      <c r="E28" s="11">
        <v>3535725000</v>
      </c>
      <c r="F28" s="11">
        <v>3563406000</v>
      </c>
      <c r="G28" s="11">
        <v>4918491000</v>
      </c>
      <c r="H28" s="11">
        <v>9469879000</v>
      </c>
      <c r="I28" s="11">
        <v>4517026000</v>
      </c>
    </row>
    <row r="29" spans="3:9" x14ac:dyDescent="0.35">
      <c r="C29" s="10" t="s">
        <v>37</v>
      </c>
      <c r="D29" s="11">
        <v>2421440000</v>
      </c>
      <c r="E29" s="11">
        <v>2618657000</v>
      </c>
      <c r="F29" s="11">
        <v>3535725000</v>
      </c>
      <c r="G29" s="11">
        <v>3563406000</v>
      </c>
      <c r="H29" s="11">
        <v>4918491000</v>
      </c>
      <c r="I29" s="11">
        <v>9469879000</v>
      </c>
    </row>
    <row r="30" spans="3:9" x14ac:dyDescent="0.35">
      <c r="C30" s="10" t="s">
        <v>38</v>
      </c>
      <c r="D30" s="10">
        <v>9.0399999999999991</v>
      </c>
      <c r="E30" s="10">
        <v>8.83</v>
      </c>
      <c r="F30" s="10">
        <v>7.79</v>
      </c>
      <c r="G30" s="10">
        <v>7.12</v>
      </c>
      <c r="H30" s="10">
        <v>6.22</v>
      </c>
      <c r="I30" s="10">
        <v>5.36</v>
      </c>
    </row>
  </sheetData>
  <mergeCells count="8">
    <mergeCell ref="I8:I9"/>
    <mergeCell ref="C5:I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E130-0CE9-474E-86E5-7B94029A8B50}">
  <dimension ref="C6:Q27"/>
  <sheetViews>
    <sheetView topLeftCell="A2" zoomScale="80" zoomScaleNormal="80" workbookViewId="0">
      <selection activeCell="E16" sqref="E16"/>
    </sheetView>
  </sheetViews>
  <sheetFormatPr defaultRowHeight="14.5" x14ac:dyDescent="0.35"/>
  <cols>
    <col min="3" max="3" width="22.54296875" bestFit="1" customWidth="1"/>
    <col min="4" max="9" width="21.26953125" bestFit="1" customWidth="1"/>
    <col min="17" max="17" width="11.54296875" customWidth="1"/>
  </cols>
  <sheetData>
    <row r="6" spans="3:17" x14ac:dyDescent="0.35">
      <c r="C6" s="85" t="s">
        <v>147</v>
      </c>
      <c r="D6" s="85"/>
      <c r="E6" s="85"/>
      <c r="F6" s="85"/>
      <c r="G6" s="85"/>
      <c r="H6" s="85"/>
      <c r="I6" s="85"/>
    </row>
    <row r="7" spans="3:17" x14ac:dyDescent="0.35">
      <c r="C7" s="85"/>
      <c r="D7" s="85"/>
      <c r="E7" s="85"/>
      <c r="F7" s="85"/>
      <c r="G7" s="85"/>
      <c r="H7" s="85"/>
      <c r="I7" s="85"/>
    </row>
    <row r="8" spans="3:17" x14ac:dyDescent="0.35">
      <c r="C8" s="87" t="s">
        <v>0</v>
      </c>
      <c r="D8" s="87">
        <v>2025</v>
      </c>
      <c r="E8" s="87">
        <v>2024</v>
      </c>
      <c r="F8" s="87">
        <v>2023</v>
      </c>
      <c r="G8" s="87">
        <v>2022</v>
      </c>
      <c r="H8" s="87">
        <v>2021</v>
      </c>
      <c r="I8" s="87">
        <v>2020</v>
      </c>
    </row>
    <row r="9" spans="3:17" x14ac:dyDescent="0.35">
      <c r="C9" s="87"/>
      <c r="D9" s="87"/>
      <c r="E9" s="87"/>
      <c r="F9" s="87"/>
      <c r="G9" s="87"/>
      <c r="H9" s="87"/>
      <c r="I9" s="87"/>
    </row>
    <row r="10" spans="3:17" x14ac:dyDescent="0.35">
      <c r="C10" s="47" t="s">
        <v>79</v>
      </c>
      <c r="D10" s="34">
        <v>2421440000</v>
      </c>
      <c r="E10" s="34">
        <v>2618657000</v>
      </c>
      <c r="F10" s="34">
        <v>3535725000</v>
      </c>
      <c r="G10" s="34">
        <v>3563406000</v>
      </c>
      <c r="H10" s="34">
        <v>4918491000</v>
      </c>
      <c r="I10" s="34">
        <v>9469879000</v>
      </c>
    </row>
    <row r="11" spans="3:17" x14ac:dyDescent="0.35">
      <c r="C11" s="47" t="s">
        <v>80</v>
      </c>
      <c r="D11" s="34">
        <v>223249000</v>
      </c>
      <c r="E11" s="34">
        <v>388130000</v>
      </c>
      <c r="F11" s="34">
        <v>379700000</v>
      </c>
      <c r="G11" s="34">
        <v>373452000</v>
      </c>
      <c r="H11" s="34">
        <v>389848000</v>
      </c>
      <c r="I11" s="34">
        <v>383008000</v>
      </c>
    </row>
    <row r="12" spans="3:17" x14ac:dyDescent="0.35">
      <c r="C12" s="47" t="s">
        <v>81</v>
      </c>
      <c r="D12" s="34">
        <f>D10+D11</f>
        <v>2644689000</v>
      </c>
      <c r="E12" s="34">
        <f t="shared" ref="E12:I12" si="0">E10+E11</f>
        <v>3006787000</v>
      </c>
      <c r="F12" s="34">
        <f t="shared" si="0"/>
        <v>3915425000</v>
      </c>
      <c r="G12" s="34">
        <f t="shared" si="0"/>
        <v>3936858000</v>
      </c>
      <c r="H12" s="34">
        <f t="shared" si="0"/>
        <v>5308339000</v>
      </c>
      <c r="I12" s="34">
        <f t="shared" si="0"/>
        <v>9852887000</v>
      </c>
    </row>
    <row r="13" spans="3:17" x14ac:dyDescent="0.35">
      <c r="C13" s="47" t="s">
        <v>82</v>
      </c>
      <c r="D13" s="34"/>
      <c r="E13" s="34"/>
      <c r="F13" s="34"/>
      <c r="G13" s="34"/>
      <c r="H13" s="34"/>
      <c r="I13" s="34"/>
    </row>
    <row r="14" spans="3:17" x14ac:dyDescent="0.35">
      <c r="C14" s="47" t="s">
        <v>83</v>
      </c>
      <c r="D14" s="34"/>
      <c r="E14" s="34"/>
      <c r="F14" s="34"/>
      <c r="G14" s="34"/>
      <c r="H14" s="34"/>
      <c r="I14" s="34"/>
    </row>
    <row r="15" spans="3:17" x14ac:dyDescent="0.35">
      <c r="C15" s="47" t="s">
        <v>84</v>
      </c>
      <c r="D15" s="34">
        <v>136131272000</v>
      </c>
      <c r="E15" s="34">
        <v>138667087000</v>
      </c>
      <c r="F15" s="34">
        <v>152187745000</v>
      </c>
      <c r="G15" s="34">
        <v>132618545000</v>
      </c>
      <c r="H15" s="34">
        <v>141386803000</v>
      </c>
      <c r="I15" s="34">
        <v>133508727000</v>
      </c>
    </row>
    <row r="16" spans="3:17" x14ac:dyDescent="0.35">
      <c r="C16" s="47" t="s">
        <v>85</v>
      </c>
      <c r="D16" s="34">
        <f>-(D12-D15)</f>
        <v>133486583000</v>
      </c>
      <c r="E16" s="34">
        <f t="shared" ref="E16:I16" si="1">-(E12-E15)</f>
        <v>135660300000</v>
      </c>
      <c r="F16" s="34">
        <f t="shared" si="1"/>
        <v>148272320000</v>
      </c>
      <c r="G16" s="34">
        <f t="shared" si="1"/>
        <v>128681687000</v>
      </c>
      <c r="H16" s="34">
        <f t="shared" si="1"/>
        <v>136078464000</v>
      </c>
      <c r="I16" s="34">
        <f t="shared" si="1"/>
        <v>123655840000</v>
      </c>
      <c r="K16" s="86" t="s">
        <v>94</v>
      </c>
      <c r="L16" s="86"/>
      <c r="M16" s="86"/>
      <c r="N16" s="86"/>
      <c r="O16" s="86"/>
      <c r="P16" s="86"/>
      <c r="Q16" s="86"/>
    </row>
    <row r="17" spans="3:11" x14ac:dyDescent="0.35">
      <c r="C17" s="47" t="s">
        <v>86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</row>
    <row r="18" spans="3:11" x14ac:dyDescent="0.35">
      <c r="C18" s="47" t="s">
        <v>87</v>
      </c>
      <c r="D18" s="34">
        <v>6955017000</v>
      </c>
      <c r="E18" s="34">
        <v>7251744000</v>
      </c>
      <c r="F18" s="34">
        <v>6350684000</v>
      </c>
      <c r="G18" s="34">
        <v>5857490000</v>
      </c>
      <c r="H18" s="34">
        <v>4017381000</v>
      </c>
      <c r="I18" s="34">
        <v>4888850000</v>
      </c>
    </row>
    <row r="19" spans="3:11" x14ac:dyDescent="0.35">
      <c r="C19" s="47" t="s">
        <v>88</v>
      </c>
      <c r="D19" s="48">
        <f>D18-D17</f>
        <v>6955017000</v>
      </c>
      <c r="E19" s="48">
        <f t="shared" ref="E19:I19" si="2">E18-E17</f>
        <v>7251744000</v>
      </c>
      <c r="F19" s="48">
        <f t="shared" si="2"/>
        <v>6350684000</v>
      </c>
      <c r="G19" s="48">
        <f t="shared" si="2"/>
        <v>5857490000</v>
      </c>
      <c r="H19" s="48">
        <f t="shared" si="2"/>
        <v>4017381000</v>
      </c>
      <c r="I19" s="48">
        <f t="shared" si="2"/>
        <v>4888850000</v>
      </c>
    </row>
    <row r="20" spans="3:11" x14ac:dyDescent="0.35">
      <c r="C20" s="47" t="s">
        <v>89</v>
      </c>
      <c r="D20" s="49"/>
      <c r="E20" s="50">
        <v>8.5104425643082703E-3</v>
      </c>
      <c r="F20" s="51">
        <v>1.8093461909209447E-3</v>
      </c>
      <c r="G20" s="51">
        <v>3.7624867118895909E-3</v>
      </c>
      <c r="H20" s="51">
        <v>3.8694626889927957E-3</v>
      </c>
      <c r="I20" s="51">
        <v>1.7835308474327877E-2</v>
      </c>
    </row>
    <row r="21" spans="3:11" x14ac:dyDescent="0.35">
      <c r="C21" s="47"/>
      <c r="D21" s="49"/>
      <c r="E21" s="49"/>
      <c r="F21" s="49"/>
      <c r="G21" s="49"/>
      <c r="H21" s="49"/>
      <c r="I21" s="49"/>
    </row>
    <row r="22" spans="3:11" x14ac:dyDescent="0.35">
      <c r="C22" s="47" t="s">
        <v>90</v>
      </c>
      <c r="D22" s="49"/>
      <c r="E22" s="51">
        <v>0</v>
      </c>
      <c r="F22" s="51">
        <v>0</v>
      </c>
      <c r="G22" s="51">
        <v>0</v>
      </c>
      <c r="H22" s="51">
        <v>0</v>
      </c>
      <c r="I22" s="51">
        <v>0</v>
      </c>
    </row>
    <row r="23" spans="3:11" x14ac:dyDescent="0.35">
      <c r="C23" s="47" t="s">
        <v>91</v>
      </c>
      <c r="D23" s="49"/>
      <c r="E23" s="51">
        <v>0.21054976159663893</v>
      </c>
      <c r="F23" s="51">
        <v>1.0973536853234147E-2</v>
      </c>
      <c r="G23" s="51">
        <v>3.4313065456883514E-2</v>
      </c>
      <c r="H23" s="51">
        <v>0.27480894541056033</v>
      </c>
      <c r="I23" s="51">
        <v>0.45865164548107556</v>
      </c>
    </row>
    <row r="27" spans="3:11" x14ac:dyDescent="0.35">
      <c r="C27" s="47" t="s">
        <v>89</v>
      </c>
      <c r="D27" s="49"/>
      <c r="E27" s="50">
        <v>8.5104425643082703E-3</v>
      </c>
      <c r="F27" s="51">
        <v>1.8093461909209447E-3</v>
      </c>
      <c r="G27" s="51">
        <v>3.7624867118895909E-3</v>
      </c>
      <c r="H27" s="51">
        <v>3.8694626889927957E-3</v>
      </c>
      <c r="I27" s="51">
        <v>1.7835308474327877E-2</v>
      </c>
      <c r="K27" s="56">
        <f>AVERAGE(E27:I27)</f>
        <v>7.1574093260878963E-3</v>
      </c>
    </row>
  </sheetData>
  <mergeCells count="9">
    <mergeCell ref="C6:I7"/>
    <mergeCell ref="K16:Q16"/>
    <mergeCell ref="C8:C9"/>
    <mergeCell ref="D8:D9"/>
    <mergeCell ref="E8:E9"/>
    <mergeCell ref="F8:F9"/>
    <mergeCell ref="G8:G9"/>
    <mergeCell ref="H8:H9"/>
    <mergeCell ref="I8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F453-4B05-41CD-AFEA-43AC3CF4315E}">
  <dimension ref="D4:R34"/>
  <sheetViews>
    <sheetView topLeftCell="F1" zoomScale="90" zoomScaleNormal="90" workbookViewId="0">
      <selection activeCell="O6" sqref="O6"/>
    </sheetView>
  </sheetViews>
  <sheetFormatPr defaultRowHeight="14.5" x14ac:dyDescent="0.35"/>
  <cols>
    <col min="2" max="2" width="21.1796875" bestFit="1" customWidth="1"/>
    <col min="4" max="4" width="33.81640625" bestFit="1" customWidth="1"/>
    <col min="5" max="5" width="15.81640625" bestFit="1" customWidth="1"/>
    <col min="6" max="6" width="44" bestFit="1" customWidth="1"/>
    <col min="7" max="8" width="15.453125" bestFit="1" customWidth="1"/>
    <col min="9" max="9" width="18.1796875" bestFit="1" customWidth="1"/>
    <col min="10" max="10" width="15.453125" bestFit="1" customWidth="1"/>
    <col min="11" max="11" width="7.81640625" bestFit="1" customWidth="1"/>
    <col min="12" max="12" width="9.1796875" bestFit="1" customWidth="1"/>
    <col min="17" max="17" width="18.54296875" bestFit="1" customWidth="1"/>
    <col min="18" max="18" width="18.26953125" bestFit="1" customWidth="1"/>
  </cols>
  <sheetData>
    <row r="4" spans="4:18" x14ac:dyDescent="0.35">
      <c r="D4" s="88" t="s">
        <v>95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Q4" s="31" t="s">
        <v>111</v>
      </c>
      <c r="R4" s="1">
        <v>156090.4</v>
      </c>
    </row>
    <row r="5" spans="4:18" x14ac:dyDescent="0.35">
      <c r="D5" s="25" t="s">
        <v>96</v>
      </c>
      <c r="E5" s="26">
        <v>29.8</v>
      </c>
      <c r="F5" s="5"/>
      <c r="G5" s="5"/>
      <c r="H5" s="5"/>
      <c r="I5" s="28" t="s">
        <v>97</v>
      </c>
      <c r="J5" s="25">
        <v>2020</v>
      </c>
      <c r="K5" s="25">
        <v>2021</v>
      </c>
      <c r="L5" s="25">
        <v>2022</v>
      </c>
      <c r="M5" s="25">
        <v>2023</v>
      </c>
      <c r="N5" s="25">
        <v>2024</v>
      </c>
      <c r="O5" s="25">
        <v>2025</v>
      </c>
      <c r="Q5" s="31" t="s">
        <v>112</v>
      </c>
      <c r="R5" s="30">
        <v>0.17</v>
      </c>
    </row>
    <row r="6" spans="4:18" x14ac:dyDescent="0.35">
      <c r="D6" s="25" t="s">
        <v>98</v>
      </c>
      <c r="E6" s="26">
        <f>AVERAGE(J6:O6)</f>
        <v>9.1499999999999984E-2</v>
      </c>
      <c r="F6" s="5" t="s">
        <v>99</v>
      </c>
      <c r="G6" s="5"/>
      <c r="H6" s="5"/>
      <c r="I6" s="28" t="s">
        <v>100</v>
      </c>
      <c r="J6" s="26">
        <v>0</v>
      </c>
      <c r="K6" s="26">
        <v>0.05</v>
      </c>
      <c r="L6" s="26">
        <v>7.0000000000000007E-2</v>
      </c>
      <c r="M6" s="26">
        <v>0.104</v>
      </c>
      <c r="N6" s="26">
        <v>0.15</v>
      </c>
      <c r="O6" s="26">
        <v>0.17499999999999999</v>
      </c>
      <c r="Q6" s="31" t="s">
        <v>113</v>
      </c>
      <c r="R6" s="2">
        <f>('Cost of Debt'!D16/1000000)+'Cost of Equity'!R4</f>
        <v>289576.98300000001</v>
      </c>
    </row>
    <row r="7" spans="4:18" x14ac:dyDescent="0.35">
      <c r="D7" s="25" t="s">
        <v>92</v>
      </c>
      <c r="E7" s="27">
        <f>AVERAGE(E31:I31)</f>
        <v>0.49080408802194564</v>
      </c>
      <c r="F7" s="5" t="s">
        <v>146</v>
      </c>
      <c r="G7" s="5"/>
      <c r="H7" s="5"/>
      <c r="I7" s="28" t="s">
        <v>101</v>
      </c>
      <c r="J7" s="27">
        <f>J6/'Income Statement-Robi'!E24</f>
        <v>0</v>
      </c>
      <c r="K7" s="27">
        <f>K6/'Income Statement-Robi'!F24</f>
        <v>3.7313432835820892E-2</v>
      </c>
      <c r="L7" s="27">
        <f>L6/'Income Statement-Robi'!G24</f>
        <v>0.11475409836065575</v>
      </c>
      <c r="M7" s="27">
        <f>M6/'Income Statement-Robi'!H24</f>
        <v>0.29714285714285715</v>
      </c>
      <c r="N7" s="27">
        <f>N6/'Income Statement-Robi'!I24</f>
        <v>0.44117647058823523</v>
      </c>
      <c r="O7" s="27">
        <f>O6/'Income Statement-Robi'!J24</f>
        <v>0.53030303030303028</v>
      </c>
    </row>
    <row r="8" spans="4:18" x14ac:dyDescent="0.35">
      <c r="D8" s="25" t="s">
        <v>93</v>
      </c>
      <c r="E8" s="27">
        <f>E6*(1+E7)/E5+E7</f>
        <v>0.49538155694993247</v>
      </c>
      <c r="F8" s="5"/>
      <c r="G8" s="5"/>
      <c r="H8" s="5"/>
    </row>
    <row r="9" spans="4:18" x14ac:dyDescent="0.35">
      <c r="D9" s="5"/>
      <c r="E9" s="5"/>
      <c r="F9" s="5"/>
      <c r="G9" s="5"/>
      <c r="H9" s="5"/>
      <c r="Q9" s="57" t="s">
        <v>148</v>
      </c>
      <c r="R9" s="29">
        <v>9166983575</v>
      </c>
    </row>
    <row r="10" spans="4:18" x14ac:dyDescent="0.35">
      <c r="D10" s="5"/>
      <c r="E10" s="5"/>
      <c r="F10" s="5"/>
      <c r="G10" s="5" t="s">
        <v>102</v>
      </c>
      <c r="H10" s="6">
        <f>AVERAGE(J7:O7)</f>
        <v>0.23678164820509986</v>
      </c>
      <c r="I10" s="5"/>
      <c r="J10" s="5"/>
      <c r="K10" s="5"/>
      <c r="L10" s="5"/>
      <c r="M10" s="5"/>
      <c r="N10" s="5"/>
      <c r="O10" s="5"/>
    </row>
    <row r="11" spans="4:18" x14ac:dyDescent="0.35">
      <c r="D11" s="5"/>
      <c r="E11" s="5"/>
      <c r="F11" s="5"/>
      <c r="G11" s="4" t="s">
        <v>103</v>
      </c>
      <c r="H11" s="6">
        <f>1-H10</f>
        <v>0.76321835179490016</v>
      </c>
      <c r="I11" s="5"/>
      <c r="J11" s="5"/>
      <c r="K11" s="5"/>
      <c r="L11" s="5"/>
      <c r="M11" s="5"/>
      <c r="N11" s="5"/>
      <c r="O11" s="5"/>
    </row>
    <row r="12" spans="4:18" x14ac:dyDescent="0.35">
      <c r="D12" s="52"/>
      <c r="E12" s="52"/>
      <c r="F12" s="5"/>
      <c r="G12" s="4" t="s">
        <v>104</v>
      </c>
      <c r="H12" s="6">
        <f>'Income Statement-Robi'!E23/'Balance Sheet-Robi'!D27</f>
        <v>0.13414569919731364</v>
      </c>
      <c r="I12" s="5"/>
      <c r="J12" s="5"/>
      <c r="K12" s="5"/>
      <c r="L12" s="5"/>
      <c r="M12" s="5"/>
      <c r="N12" s="5"/>
      <c r="O12" s="5"/>
    </row>
    <row r="13" spans="4:18" x14ac:dyDescent="0.35">
      <c r="D13" s="53" t="s">
        <v>105</v>
      </c>
      <c r="E13" s="54">
        <f>(R4/R6)*E8+(('Cost of Equity'!F16/1000000)/'Cost of Equity'!R6)*'Cost of Equity'!F17*(1-'Cost of Equity'!R5)</f>
        <v>0.26976350676192151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4:18" x14ac:dyDescent="0.35">
      <c r="D14" s="52"/>
      <c r="E14" s="52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4:18" x14ac:dyDescent="0.35">
      <c r="D15" s="52" t="s">
        <v>106</v>
      </c>
      <c r="E15" s="55">
        <f>E6*9166983575</f>
        <v>838778997.11249983</v>
      </c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4:18" x14ac:dyDescent="0.35">
      <c r="D16" s="52"/>
      <c r="E16" s="52" t="s">
        <v>107</v>
      </c>
      <c r="F16" s="7">
        <v>133486583000</v>
      </c>
      <c r="G16" s="5"/>
      <c r="H16" s="5"/>
      <c r="I16" s="5"/>
      <c r="J16" s="5"/>
      <c r="K16" s="5"/>
      <c r="L16" s="5"/>
      <c r="M16" s="5"/>
      <c r="N16" s="5"/>
      <c r="O16" s="5"/>
    </row>
    <row r="17" spans="4:15" x14ac:dyDescent="0.35">
      <c r="D17" s="52"/>
      <c r="E17" s="52" t="s">
        <v>108</v>
      </c>
      <c r="F17" s="6">
        <v>7.1574093260878963E-3</v>
      </c>
      <c r="G17" s="5"/>
      <c r="H17" s="5"/>
      <c r="I17" s="5"/>
      <c r="J17" s="5"/>
      <c r="K17" s="5"/>
      <c r="L17" s="5"/>
      <c r="M17" s="5"/>
      <c r="N17" s="5"/>
      <c r="O17" s="5"/>
    </row>
    <row r="18" spans="4:15" x14ac:dyDescent="0.35">
      <c r="D18" s="52"/>
      <c r="E18" s="52"/>
      <c r="F18" s="5"/>
      <c r="G18" s="5"/>
      <c r="H18" s="5"/>
      <c r="I18" s="5"/>
      <c r="J18" s="5"/>
      <c r="K18" s="5"/>
      <c r="L18" s="5"/>
      <c r="M18" s="5"/>
      <c r="N18" s="5"/>
      <c r="O18" s="5"/>
    </row>
    <row r="29" spans="4:15" x14ac:dyDescent="0.35">
      <c r="D29" t="s">
        <v>109</v>
      </c>
      <c r="E29">
        <v>2025</v>
      </c>
      <c r="F29">
        <v>2024</v>
      </c>
      <c r="G29">
        <v>2023</v>
      </c>
      <c r="H29">
        <v>2022</v>
      </c>
      <c r="I29">
        <v>2021</v>
      </c>
      <c r="J29">
        <v>2020</v>
      </c>
    </row>
    <row r="30" spans="4:15" x14ac:dyDescent="0.35">
      <c r="D30" s="8" t="s">
        <v>15</v>
      </c>
      <c r="E30" s="8">
        <v>9370822000</v>
      </c>
      <c r="F30" s="8">
        <v>7027797000</v>
      </c>
      <c r="G30" s="8">
        <v>3209598000</v>
      </c>
      <c r="H30" s="8">
        <v>1827199000</v>
      </c>
      <c r="I30" s="8">
        <v>1806327000</v>
      </c>
      <c r="J30" s="8">
        <v>1553315000</v>
      </c>
    </row>
    <row r="31" spans="4:15" x14ac:dyDescent="0.35">
      <c r="E31">
        <f t="shared" ref="E31:H31" si="0">(E30/F30)-1</f>
        <v>0.33339394976832715</v>
      </c>
      <c r="F31">
        <f>(F30/G30)-1</f>
        <v>1.1896190737905497</v>
      </c>
      <c r="G31">
        <f t="shared" si="0"/>
        <v>0.7565672923419946</v>
      </c>
      <c r="H31">
        <f t="shared" si="0"/>
        <v>1.1554939941660569E-2</v>
      </c>
      <c r="I31">
        <f>(I30/J30)-1</f>
        <v>0.16288518426719634</v>
      </c>
      <c r="J31">
        <v>0</v>
      </c>
    </row>
    <row r="33" spans="4:5" x14ac:dyDescent="0.35">
      <c r="D33" t="s">
        <v>110</v>
      </c>
      <c r="E33">
        <f>E6*(1+E7)</f>
        <v>0.136408574054008</v>
      </c>
    </row>
    <row r="34" spans="4:5" x14ac:dyDescent="0.35">
      <c r="E34">
        <f>E33/E5</f>
        <v>4.5774689279868457E-3</v>
      </c>
    </row>
  </sheetData>
  <mergeCells count="1">
    <mergeCell ref="D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B0A3-23D4-4F8A-AB1E-C198404A73EB}">
  <dimension ref="C2:J7"/>
  <sheetViews>
    <sheetView workbookViewId="0">
      <selection activeCell="C6" sqref="C6"/>
    </sheetView>
  </sheetViews>
  <sheetFormatPr defaultRowHeight="14.5" x14ac:dyDescent="0.35"/>
  <cols>
    <col min="3" max="3" width="22.1796875" bestFit="1" customWidth="1"/>
    <col min="4" max="5" width="18.453125" bestFit="1" customWidth="1"/>
    <col min="6" max="9" width="17.26953125" bestFit="1" customWidth="1"/>
  </cols>
  <sheetData>
    <row r="2" spans="3:10" x14ac:dyDescent="0.35">
      <c r="C2" s="89" t="s">
        <v>114</v>
      </c>
      <c r="D2" s="89"/>
      <c r="E2" s="89"/>
      <c r="F2" s="89"/>
      <c r="G2" s="89"/>
      <c r="H2" s="89"/>
      <c r="I2" s="89"/>
      <c r="J2" s="32"/>
    </row>
    <row r="3" spans="3:10" x14ac:dyDescent="0.35">
      <c r="C3" s="89"/>
      <c r="D3" s="89"/>
      <c r="E3" s="89"/>
      <c r="F3" s="89"/>
      <c r="G3" s="89"/>
      <c r="H3" s="89"/>
      <c r="I3" s="89"/>
      <c r="J3" s="32"/>
    </row>
    <row r="4" spans="3:10" x14ac:dyDescent="0.35">
      <c r="C4" s="36" t="s">
        <v>0</v>
      </c>
      <c r="D4" s="36">
        <v>2025</v>
      </c>
      <c r="E4" s="36">
        <v>2024</v>
      </c>
      <c r="F4" s="36">
        <v>2023</v>
      </c>
      <c r="G4" s="36">
        <v>2022</v>
      </c>
      <c r="H4" s="36">
        <v>2021</v>
      </c>
      <c r="I4" s="36">
        <v>2020</v>
      </c>
      <c r="J4" s="9"/>
    </row>
    <row r="5" spans="3:10" x14ac:dyDescent="0.35">
      <c r="C5" s="33" t="s">
        <v>115</v>
      </c>
      <c r="D5" s="34">
        <v>11310221000</v>
      </c>
      <c r="E5" s="34">
        <v>13506521000</v>
      </c>
      <c r="F5" s="34">
        <v>9038005000</v>
      </c>
      <c r="G5" s="34">
        <v>4627715000</v>
      </c>
      <c r="H5" s="34">
        <v>4965088000</v>
      </c>
      <c r="I5" s="34">
        <v>5508606000</v>
      </c>
      <c r="J5" s="9"/>
    </row>
    <row r="6" spans="3:10" x14ac:dyDescent="0.35">
      <c r="C6" s="33" t="s">
        <v>116</v>
      </c>
      <c r="D6" s="34">
        <v>1939399000</v>
      </c>
      <c r="E6" s="34">
        <v>6478724000</v>
      </c>
      <c r="F6" s="34">
        <v>5828407000</v>
      </c>
      <c r="G6" s="34">
        <v>2800516000</v>
      </c>
      <c r="H6" s="34">
        <v>3158761000</v>
      </c>
      <c r="I6" s="34">
        <v>3955291000</v>
      </c>
      <c r="J6" s="9"/>
    </row>
    <row r="7" spans="3:10" x14ac:dyDescent="0.35">
      <c r="C7" s="33" t="s">
        <v>117</v>
      </c>
      <c r="D7" s="35">
        <f>D6/D5</f>
        <v>0.17147313036588763</v>
      </c>
      <c r="E7" s="35">
        <f t="shared" ref="E7:I7" si="0">E6/E5</f>
        <v>0.47967378127942789</v>
      </c>
      <c r="F7" s="35">
        <f t="shared" si="0"/>
        <v>0.64487760296658392</v>
      </c>
      <c r="G7" s="35">
        <f t="shared" si="0"/>
        <v>0.60516172668368728</v>
      </c>
      <c r="H7" s="35">
        <f t="shared" si="0"/>
        <v>0.63619436352386904</v>
      </c>
      <c r="I7" s="35">
        <f t="shared" si="0"/>
        <v>0.7180203122169202</v>
      </c>
      <c r="J7" s="9"/>
    </row>
  </sheetData>
  <mergeCells count="1">
    <mergeCell ref="C2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8239-3D49-404D-90A7-0C7A94098F8C}">
  <dimension ref="C2:F15"/>
  <sheetViews>
    <sheetView topLeftCell="B1" workbookViewId="0">
      <selection activeCell="C31" sqref="C31"/>
    </sheetView>
  </sheetViews>
  <sheetFormatPr defaultRowHeight="14.5" x14ac:dyDescent="0.35"/>
  <cols>
    <col min="3" max="3" width="87.7265625" bestFit="1" customWidth="1"/>
    <col min="4" max="4" width="19.54296875" bestFit="1" customWidth="1"/>
    <col min="6" max="6" width="53.26953125" bestFit="1" customWidth="1"/>
    <col min="7" max="7" width="17.54296875" bestFit="1" customWidth="1"/>
    <col min="8" max="8" width="11" bestFit="1" customWidth="1"/>
  </cols>
  <sheetData>
    <row r="2" spans="3:6" x14ac:dyDescent="0.35">
      <c r="C2" s="90" t="s">
        <v>118</v>
      </c>
      <c r="D2" s="90"/>
    </row>
    <row r="3" spans="3:6" x14ac:dyDescent="0.35">
      <c r="C3" s="90"/>
      <c r="D3" s="90"/>
    </row>
    <row r="4" spans="3:6" x14ac:dyDescent="0.35">
      <c r="C4" s="37" t="s">
        <v>0</v>
      </c>
      <c r="D4" s="38" t="s">
        <v>122</v>
      </c>
    </row>
    <row r="5" spans="3:6" x14ac:dyDescent="0.35">
      <c r="C5" s="41" t="s">
        <v>18</v>
      </c>
      <c r="D5" s="42">
        <v>134473768000</v>
      </c>
      <c r="E5" s="9"/>
      <c r="F5" s="9"/>
    </row>
    <row r="6" spans="3:6" ht="15" customHeight="1" x14ac:dyDescent="0.35">
      <c r="C6" s="41" t="s">
        <v>19</v>
      </c>
      <c r="D6" s="42">
        <v>-39145477000</v>
      </c>
      <c r="E6" s="9"/>
    </row>
    <row r="7" spans="3:6" ht="15" customHeight="1" x14ac:dyDescent="0.35">
      <c r="C7" s="41" t="s">
        <v>20</v>
      </c>
      <c r="D7" s="42">
        <v>-47992105000</v>
      </c>
      <c r="E7" s="9"/>
    </row>
    <row r="8" spans="3:6" ht="15" customHeight="1" x14ac:dyDescent="0.35">
      <c r="C8" s="43" t="s">
        <v>21</v>
      </c>
      <c r="D8" s="44">
        <v>47336186000</v>
      </c>
      <c r="E8" s="9"/>
    </row>
    <row r="9" spans="3:6" x14ac:dyDescent="0.35">
      <c r="C9" s="41" t="s">
        <v>22</v>
      </c>
      <c r="D9" s="42">
        <v>-16708368000</v>
      </c>
      <c r="E9" s="9"/>
    </row>
    <row r="10" spans="3:6" x14ac:dyDescent="0.35">
      <c r="C10" s="41" t="s">
        <v>23</v>
      </c>
      <c r="D10" s="42">
        <v>17980000</v>
      </c>
      <c r="E10" s="9"/>
    </row>
    <row r="11" spans="3:6" x14ac:dyDescent="0.35">
      <c r="C11" s="41" t="s">
        <v>24</v>
      </c>
      <c r="D11" s="42">
        <v>145106000</v>
      </c>
      <c r="E11" s="9"/>
    </row>
    <row r="12" spans="3:6" x14ac:dyDescent="0.35">
      <c r="C12" s="43" t="s">
        <v>25</v>
      </c>
      <c r="D12" s="44">
        <v>-16545282000</v>
      </c>
      <c r="E12" s="9"/>
    </row>
    <row r="13" spans="3:6" x14ac:dyDescent="0.35">
      <c r="C13" s="39" t="s">
        <v>119</v>
      </c>
      <c r="D13" s="40">
        <f>D8+D12</f>
        <v>30790904000</v>
      </c>
      <c r="E13" s="9"/>
    </row>
    <row r="14" spans="3:6" x14ac:dyDescent="0.35">
      <c r="C14" s="39" t="s">
        <v>120</v>
      </c>
      <c r="D14" s="28">
        <v>4173010200</v>
      </c>
    </row>
    <row r="15" spans="3:6" x14ac:dyDescent="0.35">
      <c r="C15" s="45" t="s">
        <v>121</v>
      </c>
      <c r="D15" s="46">
        <f>D13+D14</f>
        <v>34963914200</v>
      </c>
    </row>
  </sheetData>
  <mergeCells count="1">
    <mergeCell ref="C2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7A76-FABC-4FAE-9307-D3114066E5E0}">
  <dimension ref="B3:M25"/>
  <sheetViews>
    <sheetView topLeftCell="A2" zoomScale="90" zoomScaleNormal="90" workbookViewId="0">
      <selection activeCell="H20" sqref="H20"/>
    </sheetView>
  </sheetViews>
  <sheetFormatPr defaultRowHeight="14.5" x14ac:dyDescent="0.35"/>
  <cols>
    <col min="2" max="2" width="30.453125" bestFit="1" customWidth="1"/>
    <col min="3" max="4" width="15.453125" bestFit="1" customWidth="1"/>
    <col min="5" max="5" width="14.54296875" bestFit="1" customWidth="1"/>
    <col min="6" max="6" width="14.26953125" bestFit="1" customWidth="1"/>
    <col min="7" max="7" width="22.453125" bestFit="1" customWidth="1"/>
    <col min="8" max="8" width="16.7265625" bestFit="1" customWidth="1"/>
    <col min="9" max="9" width="20.7265625" bestFit="1" customWidth="1"/>
    <col min="10" max="10" width="15.54296875" bestFit="1" customWidth="1"/>
    <col min="11" max="11" width="17.81640625" bestFit="1" customWidth="1"/>
    <col min="12" max="13" width="18.453125" bestFit="1" customWidth="1"/>
  </cols>
  <sheetData>
    <row r="3" spans="2:13" ht="15" thickBot="1" x14ac:dyDescent="0.4">
      <c r="B3" s="91" t="s">
        <v>123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</row>
    <row r="4" spans="2:13" x14ac:dyDescent="0.35">
      <c r="B4" s="15" t="s">
        <v>124</v>
      </c>
      <c r="C4" s="14">
        <v>18824033</v>
      </c>
      <c r="D4" s="15" t="s">
        <v>125</v>
      </c>
      <c r="E4" s="16" t="s">
        <v>126</v>
      </c>
      <c r="F4" s="17">
        <f>C4*(1-C6)+C5</f>
        <v>46627461.340499997</v>
      </c>
      <c r="G4" s="15" t="s">
        <v>127</v>
      </c>
      <c r="H4" s="14">
        <f>F4-F5-F6</f>
        <v>6156836.3404999971</v>
      </c>
      <c r="I4" s="15" t="s">
        <v>128</v>
      </c>
      <c r="J4" s="14">
        <f>FCF!D15</f>
        <v>34963914200</v>
      </c>
      <c r="K4" s="9"/>
      <c r="L4" s="9"/>
      <c r="M4" s="9"/>
    </row>
    <row r="5" spans="2:13" x14ac:dyDescent="0.35">
      <c r="B5" s="15" t="s">
        <v>129</v>
      </c>
      <c r="C5" s="14">
        <v>31031750</v>
      </c>
      <c r="D5" s="9"/>
      <c r="E5" s="18" t="s">
        <v>130</v>
      </c>
      <c r="F5" s="19">
        <f>(C7-C8)-(C9-C10)</f>
        <v>9624727</v>
      </c>
      <c r="G5" s="15" t="s">
        <v>131</v>
      </c>
      <c r="H5" s="13">
        <v>5.0000000000000001E-3</v>
      </c>
      <c r="I5" s="9"/>
      <c r="J5" s="24"/>
      <c r="K5" s="9"/>
      <c r="L5" s="9"/>
      <c r="M5" s="9"/>
    </row>
    <row r="6" spans="2:13" ht="15" thickBot="1" x14ac:dyDescent="0.4">
      <c r="B6" s="15" t="s">
        <v>117</v>
      </c>
      <c r="C6" s="13">
        <v>0.17150000000000001</v>
      </c>
      <c r="D6" s="9"/>
      <c r="E6" s="20" t="s">
        <v>132</v>
      </c>
      <c r="F6" s="21">
        <f>C11-C12+C5</f>
        <v>30845898</v>
      </c>
      <c r="G6" s="15" t="s">
        <v>105</v>
      </c>
      <c r="H6" s="13">
        <f>'Cost of Equity'!E13</f>
        <v>0.26976350676192151</v>
      </c>
      <c r="I6" s="9"/>
      <c r="J6" s="9" t="s">
        <v>149</v>
      </c>
      <c r="K6" s="9">
        <f>(H4*(1+H5))/(H6-H5)</f>
        <v>23370367.75905253</v>
      </c>
      <c r="L6" s="9"/>
      <c r="M6" s="9"/>
    </row>
    <row r="7" spans="2:13" x14ac:dyDescent="0.35">
      <c r="B7" s="15" t="s">
        <v>133</v>
      </c>
      <c r="C7" s="14">
        <v>16106966</v>
      </c>
      <c r="D7" s="9"/>
      <c r="E7" s="9"/>
      <c r="F7" s="9"/>
      <c r="G7" s="15" t="s">
        <v>159</v>
      </c>
      <c r="H7" s="13">
        <v>0.3</v>
      </c>
      <c r="I7" s="9"/>
      <c r="J7" s="9"/>
      <c r="K7" s="9"/>
      <c r="L7" s="9"/>
      <c r="M7" s="9"/>
    </row>
    <row r="8" spans="2:13" x14ac:dyDescent="0.35">
      <c r="B8" s="15" t="s">
        <v>134</v>
      </c>
      <c r="C8" s="14">
        <v>65075788</v>
      </c>
      <c r="D8" s="9"/>
      <c r="E8" s="9"/>
      <c r="F8" s="9"/>
      <c r="G8" s="9"/>
      <c r="H8" s="9"/>
      <c r="I8" s="9"/>
      <c r="J8" s="9"/>
      <c r="K8" s="9"/>
      <c r="L8" s="9"/>
      <c r="M8" s="9"/>
    </row>
    <row r="9" spans="2:13" x14ac:dyDescent="0.35">
      <c r="B9" s="15" t="s">
        <v>135</v>
      </c>
      <c r="C9" s="14">
        <v>17106396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spans="2:13" x14ac:dyDescent="0.35">
      <c r="B10" s="15" t="s">
        <v>136</v>
      </c>
      <c r="C10" s="14">
        <v>75699945</v>
      </c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2:13" x14ac:dyDescent="0.35">
      <c r="B11" s="15" t="s">
        <v>137</v>
      </c>
      <c r="C11" s="15">
        <v>189879859</v>
      </c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x14ac:dyDescent="0.35">
      <c r="B12" s="15" t="s">
        <v>138</v>
      </c>
      <c r="C12" s="15">
        <v>190065711</v>
      </c>
      <c r="D12" s="9"/>
      <c r="E12" s="9"/>
      <c r="F12" s="9"/>
      <c r="G12" s="9"/>
      <c r="H12" s="15">
        <v>1</v>
      </c>
      <c r="I12" s="15">
        <v>2</v>
      </c>
      <c r="J12" s="15">
        <v>3</v>
      </c>
      <c r="K12" s="15">
        <v>4</v>
      </c>
      <c r="L12" s="15">
        <v>5</v>
      </c>
      <c r="M12" s="15">
        <v>6</v>
      </c>
    </row>
    <row r="13" spans="2:13" x14ac:dyDescent="0.35">
      <c r="B13" s="9"/>
      <c r="C13" s="9"/>
      <c r="D13" s="9"/>
      <c r="E13" s="9"/>
      <c r="F13" s="9"/>
      <c r="G13" s="15" t="s">
        <v>97</v>
      </c>
      <c r="H13" s="12">
        <v>2025</v>
      </c>
      <c r="I13" s="12">
        <v>2026</v>
      </c>
      <c r="J13" s="12">
        <v>2027</v>
      </c>
      <c r="K13" s="12">
        <v>2028</v>
      </c>
      <c r="L13" s="12">
        <v>2029</v>
      </c>
      <c r="M13" s="12">
        <v>2030</v>
      </c>
    </row>
    <row r="14" spans="2:13" x14ac:dyDescent="0.35">
      <c r="B14" s="9"/>
      <c r="C14" s="9"/>
      <c r="D14" s="9"/>
      <c r="E14" s="9"/>
      <c r="F14" s="9"/>
      <c r="G14" s="15" t="s">
        <v>128</v>
      </c>
      <c r="H14" s="14">
        <f>J4</f>
        <v>34963914200</v>
      </c>
      <c r="I14" s="14">
        <f>H14*(1+$H$7)</f>
        <v>45453088460</v>
      </c>
      <c r="J14" s="14">
        <f t="shared" ref="J14:L14" si="0">I14*(1+$H$7)</f>
        <v>59089014998</v>
      </c>
      <c r="K14" s="14">
        <f t="shared" si="0"/>
        <v>76815719497.400009</v>
      </c>
      <c r="L14" s="14">
        <f t="shared" si="0"/>
        <v>99860435346.62001</v>
      </c>
      <c r="M14" s="14">
        <f>L14*(1+$H$5)^M12</f>
        <v>102893946659.42738</v>
      </c>
    </row>
    <row r="15" spans="2:13" x14ac:dyDescent="0.35">
      <c r="B15" s="9"/>
      <c r="C15" s="9"/>
      <c r="D15" s="9"/>
      <c r="E15" s="9"/>
      <c r="F15" s="9"/>
      <c r="G15" s="15" t="s">
        <v>139</v>
      </c>
      <c r="H15" s="9"/>
      <c r="I15" s="9"/>
      <c r="J15" s="9"/>
      <c r="K15" s="9"/>
      <c r="L15" s="9"/>
      <c r="M15" s="14">
        <f>M14*(1+H5)/(H6-H5)</f>
        <v>390568993655.57422</v>
      </c>
    </row>
    <row r="16" spans="2:13" x14ac:dyDescent="0.35">
      <c r="B16" s="9"/>
      <c r="C16" s="9"/>
      <c r="D16" s="9"/>
      <c r="E16" s="9"/>
      <c r="F16" s="9"/>
      <c r="G16" s="15" t="s">
        <v>140</v>
      </c>
      <c r="H16" s="14">
        <f>H14</f>
        <v>34963914200</v>
      </c>
      <c r="I16" s="14">
        <f t="shared" ref="I16:K16" si="1">I14</f>
        <v>45453088460</v>
      </c>
      <c r="J16" s="14">
        <f t="shared" si="1"/>
        <v>59089014998</v>
      </c>
      <c r="K16" s="14">
        <f t="shared" si="1"/>
        <v>76815719497.400009</v>
      </c>
      <c r="L16" s="14">
        <f>L14+M15</f>
        <v>490429429002.19421</v>
      </c>
      <c r="M16" s="61"/>
    </row>
    <row r="17" spans="2:13" ht="16.5" x14ac:dyDescent="0.45">
      <c r="B17" s="9"/>
      <c r="C17" s="9"/>
      <c r="D17" s="9"/>
      <c r="E17" s="9"/>
      <c r="F17" s="9"/>
      <c r="G17" s="15" t="s">
        <v>141</v>
      </c>
      <c r="H17" s="14">
        <f>NPV(H6,H16:L16)</f>
        <v>262720779493.34637</v>
      </c>
      <c r="I17" s="15" t="s">
        <v>142</v>
      </c>
      <c r="J17" s="62">
        <v>2421440000</v>
      </c>
      <c r="K17" s="15" t="s">
        <v>143</v>
      </c>
      <c r="L17" s="14">
        <v>136131272000</v>
      </c>
      <c r="M17" s="9"/>
    </row>
    <row r="18" spans="2:13" x14ac:dyDescent="0.35">
      <c r="B18" s="9"/>
      <c r="C18" s="9"/>
      <c r="D18" s="9"/>
      <c r="E18" s="9"/>
      <c r="F18" s="9"/>
      <c r="G18" s="15" t="s">
        <v>144</v>
      </c>
      <c r="H18" s="14">
        <f>H17+J17-L17</f>
        <v>129010947493.34637</v>
      </c>
      <c r="I18" s="9"/>
      <c r="J18" s="9"/>
      <c r="K18" s="9"/>
      <c r="L18" s="9"/>
      <c r="M18" s="9"/>
    </row>
    <row r="20" spans="2:13" x14ac:dyDescent="0.35">
      <c r="G20" s="22" t="s">
        <v>145</v>
      </c>
      <c r="H20" s="23">
        <f>H18/5237932895</f>
        <v>24.630126059174412</v>
      </c>
    </row>
    <row r="25" spans="2:13" x14ac:dyDescent="0.35">
      <c r="H25" t="s">
        <v>161</v>
      </c>
      <c r="I25" t="s">
        <v>160</v>
      </c>
    </row>
  </sheetData>
  <mergeCells count="1">
    <mergeCell ref="B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8143-C9F8-49D8-A977-7921506DA473}">
  <dimension ref="A1:N44"/>
  <sheetViews>
    <sheetView zoomScaleNormal="100" workbookViewId="0">
      <selection activeCell="G23" sqref="G23"/>
    </sheetView>
  </sheetViews>
  <sheetFormatPr defaultRowHeight="14.5" x14ac:dyDescent="0.35"/>
  <cols>
    <col min="1" max="1" width="19.81640625" bestFit="1" customWidth="1"/>
    <col min="2" max="2" width="15.453125" bestFit="1" customWidth="1"/>
    <col min="4" max="4" width="22.81640625" bestFit="1" customWidth="1"/>
    <col min="5" max="5" width="16.81640625" bestFit="1" customWidth="1"/>
  </cols>
  <sheetData>
    <row r="1" spans="1:14" x14ac:dyDescent="0.35">
      <c r="A1" s="92" t="s">
        <v>150</v>
      </c>
      <c r="B1" s="92"/>
      <c r="C1" s="92"/>
      <c r="D1" s="92"/>
      <c r="E1" s="92"/>
      <c r="F1" s="92"/>
      <c r="G1" s="5"/>
      <c r="H1" s="5"/>
      <c r="I1" s="5"/>
      <c r="J1" s="5"/>
      <c r="K1" s="5"/>
      <c r="L1" s="5"/>
      <c r="M1" s="5"/>
      <c r="N1" s="5"/>
    </row>
    <row r="2" spans="1:14" x14ac:dyDescent="0.35">
      <c r="A2" s="5" t="s">
        <v>151</v>
      </c>
      <c r="B2" s="5"/>
      <c r="C2" s="5"/>
      <c r="D2" s="5" t="s">
        <v>152</v>
      </c>
      <c r="E2" s="5"/>
      <c r="F2" s="58"/>
      <c r="G2" s="5"/>
      <c r="H2" s="5"/>
      <c r="I2" s="5"/>
      <c r="J2" s="5"/>
      <c r="K2" s="5"/>
      <c r="L2" s="5"/>
      <c r="M2" s="5"/>
      <c r="N2" s="5"/>
    </row>
    <row r="3" spans="1:14" x14ac:dyDescent="0.35">
      <c r="A3" s="5" t="s">
        <v>153</v>
      </c>
      <c r="B3" s="7">
        <f>FCF!D8</f>
        <v>47336186000</v>
      </c>
      <c r="C3" s="5"/>
      <c r="D3" s="5" t="s">
        <v>154</v>
      </c>
      <c r="E3" s="7">
        <f>'Cash Flow-Robi'!E18+'Cash Flow-Robi'!E23+'Cash Flow-Robi'!E19</f>
        <v>-14527518000</v>
      </c>
      <c r="F3" s="5" t="s">
        <v>162</v>
      </c>
      <c r="G3" s="5"/>
      <c r="H3" s="5"/>
      <c r="I3" s="5"/>
      <c r="J3" s="5"/>
      <c r="K3" s="5"/>
      <c r="L3" s="5"/>
      <c r="M3" s="5"/>
      <c r="N3" s="5"/>
    </row>
    <row r="4" spans="1:14" x14ac:dyDescent="0.35">
      <c r="A4" s="5" t="s">
        <v>155</v>
      </c>
      <c r="B4" s="7">
        <f>TAX!D6</f>
        <v>1939399000</v>
      </c>
      <c r="C4" s="5"/>
      <c r="D4" s="5" t="s">
        <v>156</v>
      </c>
      <c r="E4" s="59">
        <v>46231480000</v>
      </c>
      <c r="F4" s="5"/>
      <c r="G4" s="5"/>
      <c r="H4" s="5"/>
      <c r="I4" s="5"/>
      <c r="J4" s="5"/>
      <c r="K4" s="5"/>
      <c r="L4" s="5"/>
      <c r="M4" s="5"/>
      <c r="N4" s="5"/>
    </row>
    <row r="5" spans="1:14" x14ac:dyDescent="0.35">
      <c r="A5" s="5" t="s">
        <v>117</v>
      </c>
      <c r="B5" s="6">
        <f>TAX!D7</f>
        <v>0.17147313036588763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5">
      <c r="A6" s="5" t="s">
        <v>163</v>
      </c>
      <c r="B6" s="5">
        <v>30845898000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5">
      <c r="A7" s="5"/>
      <c r="B7" s="5"/>
      <c r="C7" s="58"/>
      <c r="D7" s="5"/>
      <c r="E7" s="5"/>
      <c r="F7" s="58"/>
      <c r="G7" s="5"/>
      <c r="H7" s="5"/>
      <c r="I7" s="5"/>
      <c r="J7" s="5"/>
      <c r="K7" s="5"/>
      <c r="L7" s="5"/>
      <c r="M7" s="5"/>
      <c r="N7" s="5"/>
    </row>
    <row r="8" spans="1:14" x14ac:dyDescent="0.35">
      <c r="A8" s="4" t="s">
        <v>157</v>
      </c>
      <c r="B8" s="60">
        <f>B3+'Income Statement-Robi'!E18*(1-B5)-D12</f>
        <v>53098604463.262039</v>
      </c>
      <c r="C8" s="5"/>
      <c r="D8" s="4" t="s">
        <v>158</v>
      </c>
      <c r="E8" s="60">
        <f>E4-D12+E3</f>
        <v>31703962000</v>
      </c>
      <c r="F8" s="5"/>
      <c r="G8" s="5"/>
      <c r="H8" s="5"/>
      <c r="I8" s="5"/>
      <c r="J8" s="5"/>
      <c r="K8" s="5"/>
      <c r="L8" s="5"/>
      <c r="M8" s="5"/>
      <c r="N8" s="5"/>
    </row>
    <row r="9" spans="1:14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5">
      <c r="A12" s="5"/>
      <c r="B12" s="5"/>
      <c r="C12" s="5"/>
      <c r="D12" s="63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5">
      <c r="A15" s="5"/>
      <c r="B15" s="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025F-7684-41C8-BC8B-E101654C57EC}">
  <dimension ref="C4:J22"/>
  <sheetViews>
    <sheetView topLeftCell="A3" workbookViewId="0">
      <selection activeCell="D10" sqref="D10"/>
    </sheetView>
  </sheetViews>
  <sheetFormatPr defaultRowHeight="14.5" x14ac:dyDescent="0.35"/>
  <cols>
    <col min="3" max="3" width="21.1796875" bestFit="1" customWidth="1"/>
    <col min="4" max="4" width="19.26953125" bestFit="1" customWidth="1"/>
    <col min="5" max="5" width="17.81640625" bestFit="1" customWidth="1"/>
    <col min="6" max="6" width="15.453125" bestFit="1" customWidth="1"/>
    <col min="7" max="8" width="16.54296875" bestFit="1" customWidth="1"/>
    <col min="9" max="9" width="18.453125" bestFit="1" customWidth="1"/>
    <col min="10" max="10" width="16.54296875" bestFit="1" customWidth="1"/>
  </cols>
  <sheetData>
    <row r="4" spans="3:10" x14ac:dyDescent="0.35">
      <c r="C4" s="88" t="s">
        <v>164</v>
      </c>
      <c r="D4" s="88"/>
      <c r="E4" s="88"/>
      <c r="F4" s="88"/>
      <c r="G4" s="88"/>
      <c r="H4" s="88"/>
      <c r="I4" s="88"/>
      <c r="J4" s="88"/>
    </row>
    <row r="5" spans="3:10" x14ac:dyDescent="0.35">
      <c r="C5" s="5" t="s">
        <v>157</v>
      </c>
      <c r="D5" s="68">
        <f>'FCFF &amp; FCFE'!B8</f>
        <v>53098604463.262039</v>
      </c>
      <c r="E5" s="5"/>
      <c r="F5" s="5"/>
      <c r="G5" s="5"/>
      <c r="H5" s="5"/>
      <c r="I5" s="5"/>
      <c r="J5" s="5"/>
    </row>
    <row r="6" spans="3:10" x14ac:dyDescent="0.35">
      <c r="C6" s="5" t="s">
        <v>131</v>
      </c>
      <c r="D6" s="71">
        <v>5.0000000000000001E-3</v>
      </c>
      <c r="E6" s="5"/>
      <c r="F6" s="5"/>
      <c r="G6" s="5"/>
      <c r="H6" s="5"/>
      <c r="I6" s="5"/>
      <c r="J6" s="5"/>
    </row>
    <row r="7" spans="3:10" x14ac:dyDescent="0.35">
      <c r="C7" s="5" t="s">
        <v>105</v>
      </c>
      <c r="D7" s="71">
        <f>CFFA!H6</f>
        <v>0.26976350676192151</v>
      </c>
      <c r="E7" s="5"/>
      <c r="F7" s="5"/>
      <c r="G7" s="5"/>
      <c r="H7" s="5"/>
      <c r="I7" s="5"/>
      <c r="J7" s="5"/>
    </row>
    <row r="8" spans="3:10" x14ac:dyDescent="0.35">
      <c r="C8" s="5" t="s">
        <v>159</v>
      </c>
      <c r="D8" s="71">
        <f>CFFA!H7</f>
        <v>0.3</v>
      </c>
      <c r="E8" s="5"/>
      <c r="F8" s="5"/>
      <c r="G8" s="5"/>
      <c r="H8" s="5"/>
      <c r="I8" s="5"/>
      <c r="J8" s="5"/>
    </row>
    <row r="9" spans="3:10" x14ac:dyDescent="0.35">
      <c r="C9" s="5" t="s">
        <v>165</v>
      </c>
      <c r="D9" s="76">
        <v>5237932895</v>
      </c>
      <c r="E9" s="5"/>
      <c r="F9" s="5"/>
      <c r="G9" s="5"/>
      <c r="H9" s="5"/>
      <c r="I9" s="5"/>
      <c r="J9" s="5"/>
    </row>
    <row r="10" spans="3:10" x14ac:dyDescent="0.35">
      <c r="C10" s="5"/>
      <c r="D10" s="5"/>
      <c r="E10" s="5"/>
      <c r="F10" s="5"/>
      <c r="G10" s="5"/>
      <c r="H10" s="5"/>
      <c r="I10" s="5"/>
      <c r="J10" s="5"/>
    </row>
    <row r="11" spans="3:10" x14ac:dyDescent="0.35">
      <c r="C11" s="5"/>
      <c r="D11" s="65"/>
      <c r="E11" s="65">
        <v>1</v>
      </c>
      <c r="F11" s="65">
        <v>2</v>
      </c>
      <c r="G11" s="65">
        <v>3</v>
      </c>
      <c r="H11" s="65">
        <v>4</v>
      </c>
      <c r="I11" s="65">
        <v>5</v>
      </c>
      <c r="J11" s="65">
        <v>6</v>
      </c>
    </row>
    <row r="12" spans="3:10" x14ac:dyDescent="0.35">
      <c r="C12" s="5"/>
      <c r="D12" s="65" t="s">
        <v>97</v>
      </c>
      <c r="E12" s="66">
        <v>2025</v>
      </c>
      <c r="F12" s="66">
        <v>2026</v>
      </c>
      <c r="G12" s="66">
        <v>2027</v>
      </c>
      <c r="H12" s="66">
        <v>2028</v>
      </c>
      <c r="I12" s="66">
        <v>2029</v>
      </c>
      <c r="J12" s="66">
        <v>2030</v>
      </c>
    </row>
    <row r="13" spans="3:10" x14ac:dyDescent="0.35">
      <c r="C13" s="5"/>
      <c r="D13" s="67" t="s">
        <v>157</v>
      </c>
      <c r="E13" s="68">
        <f>$D$5*(1+$D$8)^E11</f>
        <v>69028185802.240646</v>
      </c>
      <c r="F13" s="68">
        <f t="shared" ref="F13:J13" si="0">$D$5*(1+$D$8)^F11</f>
        <v>89736641542.912857</v>
      </c>
      <c r="G13" s="68">
        <f t="shared" si="0"/>
        <v>116657634005.78673</v>
      </c>
      <c r="H13" s="68">
        <f t="shared" si="0"/>
        <v>151654924207.52274</v>
      </c>
      <c r="I13" s="68">
        <f t="shared" si="0"/>
        <v>197151401469.77957</v>
      </c>
      <c r="J13" s="68">
        <f t="shared" si="0"/>
        <v>256296821910.71347</v>
      </c>
    </row>
    <row r="14" spans="3:10" x14ac:dyDescent="0.35">
      <c r="C14" s="5"/>
      <c r="D14" s="67" t="s">
        <v>139</v>
      </c>
      <c r="E14" s="67"/>
      <c r="F14" s="5"/>
      <c r="G14" s="5"/>
      <c r="H14" s="5"/>
      <c r="I14" s="5"/>
      <c r="J14" s="7">
        <f>J13/(D7-D6)</f>
        <v>968021707542.87</v>
      </c>
    </row>
    <row r="15" spans="3:10" x14ac:dyDescent="0.35">
      <c r="C15" s="5"/>
      <c r="D15" s="67" t="s">
        <v>140</v>
      </c>
      <c r="E15" s="68">
        <f>E13</f>
        <v>69028185802.240646</v>
      </c>
      <c r="F15" s="7">
        <f>F13</f>
        <v>89736641542.912857</v>
      </c>
      <c r="G15" s="7">
        <f>G13</f>
        <v>116657634005.78673</v>
      </c>
      <c r="H15" s="7">
        <f>H13</f>
        <v>151654924207.52274</v>
      </c>
      <c r="I15" s="7">
        <f>I13+J14</f>
        <v>1165173109012.6497</v>
      </c>
      <c r="J15" s="5"/>
    </row>
    <row r="16" spans="3:10" x14ac:dyDescent="0.35">
      <c r="C16" s="5"/>
      <c r="D16" s="67" t="s">
        <v>141</v>
      </c>
      <c r="E16" s="68">
        <f>NPV(D7,E15:I15)*(1+D7)^0.5</f>
        <v>651700549077.5957</v>
      </c>
      <c r="F16" s="5"/>
      <c r="G16" s="5"/>
      <c r="H16" s="5"/>
      <c r="I16" s="5"/>
      <c r="J16" s="5"/>
    </row>
    <row r="17" spans="3:10" x14ac:dyDescent="0.35">
      <c r="C17" s="5"/>
      <c r="D17" s="67"/>
      <c r="E17" s="67"/>
      <c r="F17" s="5"/>
      <c r="G17" s="5"/>
      <c r="H17" s="5"/>
      <c r="I17" s="5"/>
      <c r="J17" s="5"/>
    </row>
    <row r="18" spans="3:10" x14ac:dyDescent="0.35">
      <c r="C18" s="5"/>
      <c r="D18" s="67" t="s">
        <v>142</v>
      </c>
      <c r="E18" s="68">
        <f>'[1]Balance Sheet'!D19</f>
        <v>130000000</v>
      </c>
      <c r="F18" s="5"/>
      <c r="G18" s="5"/>
      <c r="H18" s="5"/>
      <c r="I18" s="5"/>
      <c r="J18" s="5"/>
    </row>
    <row r="19" spans="3:10" x14ac:dyDescent="0.35">
      <c r="C19" s="5"/>
      <c r="D19" s="67" t="s">
        <v>143</v>
      </c>
      <c r="E19" s="68">
        <f>'[1]Cost of Debt'!D11</f>
        <v>21629000</v>
      </c>
      <c r="F19" s="5"/>
      <c r="G19" s="5"/>
      <c r="H19" s="5"/>
      <c r="I19" s="5"/>
      <c r="J19" s="5"/>
    </row>
    <row r="20" spans="3:10" x14ac:dyDescent="0.35">
      <c r="C20" s="5"/>
      <c r="D20" s="69" t="s">
        <v>144</v>
      </c>
      <c r="E20" s="75">
        <f>E16+E18-E19</f>
        <v>651808920077.5957</v>
      </c>
      <c r="F20" s="69"/>
      <c r="G20" s="5"/>
      <c r="H20" s="5"/>
      <c r="I20" s="5"/>
      <c r="J20" s="5"/>
    </row>
    <row r="21" spans="3:10" x14ac:dyDescent="0.35">
      <c r="C21" s="5"/>
      <c r="D21" s="69" t="s">
        <v>166</v>
      </c>
      <c r="E21" s="70">
        <f>E20/D9</f>
        <v>124.44010512234631</v>
      </c>
      <c r="F21" s="5"/>
      <c r="G21" s="5"/>
      <c r="H21" s="5"/>
      <c r="I21" s="5"/>
      <c r="J21" s="5"/>
    </row>
    <row r="22" spans="3:10" x14ac:dyDescent="0.35">
      <c r="C22" s="5"/>
      <c r="D22" s="5"/>
      <c r="E22" s="5"/>
      <c r="F22" s="5"/>
      <c r="G22" s="5"/>
      <c r="H22" s="5"/>
      <c r="I22" s="5"/>
      <c r="J22" s="5"/>
    </row>
  </sheetData>
  <mergeCells count="1">
    <mergeCell ref="C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5503-A1C1-453F-98F8-8C38C1F3B69F}">
  <dimension ref="B3:J20"/>
  <sheetViews>
    <sheetView topLeftCell="A5" workbookViewId="0">
      <selection activeCell="D9" sqref="D9"/>
    </sheetView>
  </sheetViews>
  <sheetFormatPr defaultRowHeight="14.5" x14ac:dyDescent="0.35"/>
  <cols>
    <col min="3" max="3" width="21.1796875" bestFit="1" customWidth="1"/>
    <col min="4" max="4" width="32" bestFit="1" customWidth="1"/>
    <col min="5" max="5" width="17.81640625" bestFit="1" customWidth="1"/>
    <col min="6" max="6" width="15.453125" bestFit="1" customWidth="1"/>
    <col min="7" max="10" width="16.54296875" bestFit="1" customWidth="1"/>
  </cols>
  <sheetData>
    <row r="3" spans="2:10" x14ac:dyDescent="0.35">
      <c r="C3" s="88" t="s">
        <v>167</v>
      </c>
      <c r="D3" s="88"/>
      <c r="E3" s="88"/>
      <c r="F3" s="88"/>
      <c r="G3" s="88"/>
      <c r="H3" s="88"/>
      <c r="I3" s="88"/>
      <c r="J3" s="88"/>
    </row>
    <row r="4" spans="2:10" x14ac:dyDescent="0.35">
      <c r="B4" s="77"/>
      <c r="C4" s="67" t="s">
        <v>158</v>
      </c>
      <c r="D4" s="68">
        <f>'FCFF &amp; FCFE'!E8</f>
        <v>31703962000</v>
      </c>
      <c r="E4" s="5"/>
      <c r="F4" s="5"/>
      <c r="G4" s="5"/>
      <c r="H4" s="5"/>
      <c r="I4" s="5"/>
      <c r="J4" s="5"/>
    </row>
    <row r="5" spans="2:10" x14ac:dyDescent="0.35">
      <c r="B5" s="77"/>
      <c r="C5" s="67" t="s">
        <v>131</v>
      </c>
      <c r="D5" s="71">
        <v>5.0000000000000001E-3</v>
      </c>
      <c r="E5" s="5"/>
      <c r="F5" s="5"/>
      <c r="G5" s="5"/>
      <c r="H5" s="5"/>
      <c r="I5" s="5"/>
      <c r="J5" s="5"/>
    </row>
    <row r="6" spans="2:10" x14ac:dyDescent="0.35">
      <c r="B6" s="77"/>
      <c r="C6" s="67" t="s">
        <v>93</v>
      </c>
      <c r="D6" s="71">
        <f>'Cost of Equity'!E8</f>
        <v>0.49538155694993247</v>
      </c>
      <c r="E6" s="5"/>
      <c r="F6" s="5"/>
      <c r="G6" s="5"/>
      <c r="H6" s="5"/>
      <c r="I6" s="5"/>
      <c r="J6" s="5"/>
    </row>
    <row r="7" spans="2:10" x14ac:dyDescent="0.35">
      <c r="B7" s="77"/>
      <c r="C7" s="67" t="s">
        <v>168</v>
      </c>
      <c r="D7" s="71">
        <f>'Cost of Equity'!E7</f>
        <v>0.49080408802194564</v>
      </c>
      <c r="E7" s="5"/>
      <c r="F7" s="5"/>
      <c r="G7" s="5"/>
      <c r="H7" s="5"/>
      <c r="I7" s="5"/>
      <c r="J7" s="5"/>
    </row>
    <row r="8" spans="2:10" x14ac:dyDescent="0.35">
      <c r="B8" s="77"/>
      <c r="C8" s="67" t="s">
        <v>165</v>
      </c>
      <c r="D8" s="68">
        <v>5237932895</v>
      </c>
      <c r="E8" s="5"/>
      <c r="F8" s="5"/>
      <c r="G8" s="5"/>
      <c r="H8" s="5"/>
      <c r="I8" s="5"/>
      <c r="J8" s="5"/>
    </row>
    <row r="9" spans="2:10" x14ac:dyDescent="0.35">
      <c r="B9" s="77"/>
      <c r="C9" s="67"/>
      <c r="D9" s="67"/>
      <c r="E9" s="5"/>
      <c r="F9" s="5"/>
      <c r="G9" s="5"/>
      <c r="H9" s="5"/>
      <c r="I9" s="5"/>
      <c r="J9" s="5"/>
    </row>
    <row r="10" spans="2:10" x14ac:dyDescent="0.35">
      <c r="C10" s="5"/>
      <c r="D10" s="5"/>
      <c r="E10" s="5">
        <v>1</v>
      </c>
      <c r="F10" s="5">
        <v>2</v>
      </c>
      <c r="G10" s="5">
        <v>3</v>
      </c>
      <c r="H10" s="5">
        <v>4</v>
      </c>
      <c r="I10" s="5">
        <v>5</v>
      </c>
      <c r="J10" s="5">
        <v>6</v>
      </c>
    </row>
    <row r="11" spans="2:10" x14ac:dyDescent="0.35">
      <c r="C11" s="5"/>
      <c r="D11" s="5" t="s">
        <v>97</v>
      </c>
      <c r="E11" s="4">
        <v>2025</v>
      </c>
      <c r="F11" s="4">
        <v>2026</v>
      </c>
      <c r="G11" s="4">
        <v>2027</v>
      </c>
      <c r="H11" s="4">
        <v>2028</v>
      </c>
      <c r="I11" s="4">
        <v>2029</v>
      </c>
      <c r="J11" s="4">
        <v>2030</v>
      </c>
    </row>
    <row r="12" spans="2:10" x14ac:dyDescent="0.35">
      <c r="C12" s="5"/>
      <c r="D12" s="5" t="s">
        <v>158</v>
      </c>
      <c r="E12" s="7">
        <f>$D$4*(1+$D$7)^E10</f>
        <v>47264396156.092415</v>
      </c>
      <c r="F12" s="7">
        <f t="shared" ref="F12:J12" si="0">$D$4*(1+$D$7)^F10</f>
        <v>70461955007.391296</v>
      </c>
      <c r="G12" s="7">
        <f t="shared" si="0"/>
        <v>105044970575.03734</v>
      </c>
      <c r="H12" s="7">
        <f t="shared" si="0"/>
        <v>156601471559.41064</v>
      </c>
      <c r="I12" s="7">
        <f t="shared" si="0"/>
        <v>233462113991.02182</v>
      </c>
      <c r="J12" s="7">
        <f t="shared" si="0"/>
        <v>348046273936.06073</v>
      </c>
    </row>
    <row r="13" spans="2:10" x14ac:dyDescent="0.35">
      <c r="C13" s="5"/>
      <c r="D13" s="5" t="s">
        <v>139</v>
      </c>
      <c r="E13" s="5"/>
      <c r="F13" s="5"/>
      <c r="G13" s="5"/>
      <c r="H13" s="5"/>
      <c r="I13" s="5"/>
      <c r="J13" s="7">
        <f>J12/(D6-D5)</f>
        <v>709745847908.37878</v>
      </c>
    </row>
    <row r="14" spans="2:10" x14ac:dyDescent="0.35">
      <c r="C14" s="5"/>
      <c r="D14" s="5" t="s">
        <v>140</v>
      </c>
      <c r="E14" s="7">
        <f>E12</f>
        <v>47264396156.092415</v>
      </c>
      <c r="F14" s="7">
        <f>F12</f>
        <v>70461955007.391296</v>
      </c>
      <c r="G14" s="7">
        <f>G12</f>
        <v>105044970575.03734</v>
      </c>
      <c r="H14" s="7">
        <f>H12</f>
        <v>156601471559.41064</v>
      </c>
      <c r="I14" s="7">
        <f>I12+J13</f>
        <v>943207961899.40063</v>
      </c>
      <c r="J14" s="5"/>
    </row>
    <row r="15" spans="2:10" x14ac:dyDescent="0.35">
      <c r="C15" s="5"/>
      <c r="D15" s="5" t="s">
        <v>169</v>
      </c>
      <c r="E15" s="7">
        <f>NPV(D6,E14:I14)*(1+D6)^0.5</f>
        <v>308143993547.48267</v>
      </c>
      <c r="F15" s="5"/>
      <c r="G15" s="5"/>
      <c r="H15" s="5"/>
      <c r="I15" s="5"/>
      <c r="J15" s="5"/>
    </row>
    <row r="16" spans="2:10" x14ac:dyDescent="0.35">
      <c r="C16" s="5"/>
      <c r="D16" s="5"/>
      <c r="E16" s="5"/>
      <c r="F16" s="5"/>
      <c r="G16" s="5"/>
      <c r="H16" s="5"/>
      <c r="I16" s="5"/>
      <c r="J16" s="5"/>
    </row>
    <row r="17" spans="3:10" x14ac:dyDescent="0.35">
      <c r="C17" s="5"/>
      <c r="D17" s="5" t="s">
        <v>170</v>
      </c>
      <c r="E17" s="72">
        <v>72922396635</v>
      </c>
      <c r="F17" s="5"/>
      <c r="G17" s="5"/>
      <c r="H17" s="5"/>
      <c r="I17" s="5"/>
      <c r="J17" s="5"/>
    </row>
    <row r="18" spans="3:10" x14ac:dyDescent="0.35">
      <c r="C18" s="5"/>
      <c r="D18" s="5" t="s">
        <v>171</v>
      </c>
      <c r="E18" s="73">
        <v>5544840000</v>
      </c>
      <c r="F18" s="5"/>
      <c r="G18" s="5"/>
      <c r="H18" s="5"/>
      <c r="I18" s="5"/>
      <c r="J18" s="5"/>
    </row>
    <row r="19" spans="3:10" x14ac:dyDescent="0.35">
      <c r="C19" s="5"/>
      <c r="D19" s="5" t="s">
        <v>172</v>
      </c>
      <c r="E19" s="74">
        <f>E15+E17-E18</f>
        <v>375521550182.48267</v>
      </c>
      <c r="F19" s="5"/>
      <c r="G19" s="5"/>
      <c r="H19" s="5"/>
      <c r="I19" s="5"/>
      <c r="J19" s="5"/>
    </row>
    <row r="20" spans="3:10" x14ac:dyDescent="0.35">
      <c r="C20" s="5"/>
      <c r="D20" s="4" t="s">
        <v>166</v>
      </c>
      <c r="E20" s="64">
        <f>E19/D8</f>
        <v>71.692699717658883</v>
      </c>
      <c r="F20" s="5"/>
      <c r="G20" s="5"/>
      <c r="H20" s="5"/>
      <c r="I20" s="5"/>
      <c r="J20" s="5"/>
    </row>
  </sheetData>
  <mergeCells count="1">
    <mergeCell ref="C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ADBB-6FD0-4EDC-B1C8-16E9F8C49E20}">
  <dimension ref="C3:M21"/>
  <sheetViews>
    <sheetView tabSelected="1" topLeftCell="D3" workbookViewId="0">
      <selection activeCell="J16" sqref="J16"/>
    </sheetView>
  </sheetViews>
  <sheetFormatPr defaultRowHeight="14.5" x14ac:dyDescent="0.35"/>
  <cols>
    <col min="4" max="4" width="21.81640625" bestFit="1" customWidth="1"/>
    <col min="5" max="5" width="14.26953125" bestFit="1" customWidth="1"/>
    <col min="7" max="7" width="10.453125" bestFit="1" customWidth="1"/>
    <col min="8" max="8" width="21.1796875" bestFit="1" customWidth="1"/>
    <col min="9" max="12" width="15.453125" bestFit="1" customWidth="1"/>
    <col min="13" max="13" width="16.54296875" bestFit="1" customWidth="1"/>
  </cols>
  <sheetData>
    <row r="3" spans="3:13" x14ac:dyDescent="0.35">
      <c r="C3" s="88" t="s">
        <v>173</v>
      </c>
      <c r="D3" s="88"/>
      <c r="E3" s="88"/>
      <c r="F3" s="88"/>
      <c r="G3" s="88"/>
      <c r="H3" s="88"/>
      <c r="I3" s="88"/>
      <c r="J3" s="88"/>
      <c r="K3" s="88"/>
      <c r="L3" s="88"/>
      <c r="M3" s="88"/>
    </row>
    <row r="4" spans="3:13" x14ac:dyDescent="0.35">
      <c r="C4" s="5"/>
      <c r="D4" s="5" t="s">
        <v>174</v>
      </c>
      <c r="E4" s="7">
        <f>'Income Statement-Robi'!E23</f>
        <v>9370822000</v>
      </c>
      <c r="F4" s="5"/>
      <c r="G4" s="5"/>
      <c r="H4" s="5" t="s">
        <v>131</v>
      </c>
      <c r="I4" s="6">
        <v>5.0000000000000001E-3</v>
      </c>
      <c r="J4" s="5"/>
      <c r="K4" s="5"/>
      <c r="L4" s="5"/>
      <c r="M4" s="5"/>
    </row>
    <row r="5" spans="3:13" x14ac:dyDescent="0.35">
      <c r="C5" s="5"/>
      <c r="D5" s="5" t="s">
        <v>175</v>
      </c>
      <c r="E5" s="6">
        <f>'Cost of Equity'!E7</f>
        <v>0.49080408802194564</v>
      </c>
      <c r="F5" s="5"/>
      <c r="G5" s="5"/>
      <c r="H5" s="5" t="s">
        <v>105</v>
      </c>
      <c r="I5" s="6">
        <f>CFFA!H6</f>
        <v>0.26976350676192151</v>
      </c>
      <c r="J5" s="5"/>
      <c r="K5" s="5"/>
      <c r="L5" s="5"/>
      <c r="M5" s="5"/>
    </row>
    <row r="6" spans="3:13" x14ac:dyDescent="0.35">
      <c r="C6" s="5"/>
      <c r="D6" s="5" t="s">
        <v>176</v>
      </c>
      <c r="E6" s="7">
        <f>'Cost of Equity'!E15</f>
        <v>838778997.11249983</v>
      </c>
      <c r="F6" s="5"/>
      <c r="G6" s="5"/>
      <c r="H6" s="5"/>
      <c r="I6" s="5"/>
      <c r="J6" s="5"/>
      <c r="K6" s="5"/>
      <c r="L6" s="5"/>
      <c r="M6" s="5"/>
    </row>
    <row r="7" spans="3:13" x14ac:dyDescent="0.35">
      <c r="C7" s="5"/>
      <c r="D7" s="5" t="s">
        <v>177</v>
      </c>
      <c r="E7" s="6">
        <f>'Cost of Equity'!O6</f>
        <v>0.17499999999999999</v>
      </c>
      <c r="F7" s="58"/>
      <c r="G7" s="5"/>
      <c r="H7" s="5"/>
      <c r="I7" s="5"/>
      <c r="J7" s="5"/>
      <c r="K7" s="5"/>
      <c r="L7" s="5"/>
      <c r="M7" s="5"/>
    </row>
    <row r="8" spans="3:13" x14ac:dyDescent="0.35">
      <c r="C8" s="5"/>
      <c r="D8" s="5" t="s">
        <v>165</v>
      </c>
      <c r="E8" s="7">
        <f>'FCFE Valuation'!D8</f>
        <v>5237932895</v>
      </c>
      <c r="F8" s="5"/>
      <c r="G8" s="5"/>
      <c r="H8" s="5"/>
      <c r="I8" s="5"/>
      <c r="J8" s="5"/>
      <c r="K8" s="5"/>
      <c r="L8" s="5"/>
      <c r="M8" s="5"/>
    </row>
    <row r="9" spans="3:13" x14ac:dyDescent="0.35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 x14ac:dyDescent="0.35">
      <c r="C10" s="5"/>
      <c r="D10" s="5"/>
      <c r="E10" s="5"/>
      <c r="F10" s="5"/>
      <c r="G10" s="67"/>
      <c r="H10" s="67"/>
      <c r="I10" s="67"/>
      <c r="J10" s="67"/>
      <c r="K10" s="67"/>
      <c r="L10" s="67"/>
      <c r="M10" s="67"/>
    </row>
    <row r="11" spans="3:13" x14ac:dyDescent="0.35">
      <c r="C11" s="5"/>
      <c r="D11" s="5"/>
      <c r="E11" s="5"/>
      <c r="F11" s="5"/>
      <c r="G11" s="67"/>
      <c r="H11" s="67">
        <v>1</v>
      </c>
      <c r="I11" s="67">
        <v>2</v>
      </c>
      <c r="J11" s="67">
        <v>3</v>
      </c>
      <c r="K11" s="67">
        <v>4</v>
      </c>
      <c r="L11" s="67">
        <v>5</v>
      </c>
      <c r="M11" s="67">
        <v>6</v>
      </c>
    </row>
    <row r="12" spans="3:13" x14ac:dyDescent="0.35">
      <c r="C12" s="5"/>
      <c r="D12" s="5"/>
      <c r="E12" s="5"/>
      <c r="F12" s="5"/>
      <c r="G12" s="67" t="s">
        <v>97</v>
      </c>
      <c r="H12" s="69">
        <v>2025</v>
      </c>
      <c r="I12" s="69">
        <v>2026</v>
      </c>
      <c r="J12" s="69">
        <v>2027</v>
      </c>
      <c r="K12" s="69">
        <v>2028</v>
      </c>
      <c r="L12" s="69">
        <v>2029</v>
      </c>
      <c r="M12" s="69">
        <v>2030</v>
      </c>
    </row>
    <row r="13" spans="3:13" x14ac:dyDescent="0.35">
      <c r="C13" s="5"/>
      <c r="D13" s="5"/>
      <c r="E13" s="5"/>
      <c r="F13" s="5"/>
      <c r="G13" s="67" t="s">
        <v>178</v>
      </c>
      <c r="H13" s="68">
        <f>$E$4*(1+$E$5)^H11</f>
        <v>13970059745.725985</v>
      </c>
      <c r="I13" s="68">
        <f t="shared" ref="I13:M13" si="0">$E$4*(1+$E$5)^I11</f>
        <v>20826622178.839115</v>
      </c>
      <c r="J13" s="68">
        <f t="shared" si="0"/>
        <v>31048413483.901875</v>
      </c>
      <c r="K13" s="68">
        <f t="shared" si="0"/>
        <v>46287101748.396606</v>
      </c>
      <c r="L13" s="68">
        <f t="shared" si="0"/>
        <v>69005000509.197403</v>
      </c>
      <c r="M13" s="68">
        <f t="shared" si="0"/>
        <v>102872936853.06792</v>
      </c>
    </row>
    <row r="14" spans="3:13" x14ac:dyDescent="0.35">
      <c r="C14" s="5"/>
      <c r="D14" s="5"/>
      <c r="E14" s="5"/>
      <c r="F14" s="5"/>
      <c r="G14" s="67" t="s">
        <v>176</v>
      </c>
      <c r="H14" s="78">
        <f>$E$6*(1+$E$7)^H11</f>
        <v>985565321.60718739</v>
      </c>
      <c r="I14" s="68">
        <f t="shared" ref="I14:M14" si="1">$E$6*(1+$E$7)^I11</f>
        <v>1158039252.8884454</v>
      </c>
      <c r="J14" s="68">
        <f t="shared" si="1"/>
        <v>1360696122.1439233</v>
      </c>
      <c r="K14" s="68">
        <f t="shared" si="1"/>
        <v>1598817943.51911</v>
      </c>
      <c r="L14" s="68">
        <f t="shared" si="1"/>
        <v>1878611083.6349542</v>
      </c>
      <c r="M14" s="68">
        <f t="shared" si="1"/>
        <v>2207368023.2710719</v>
      </c>
    </row>
    <row r="15" spans="3:13" x14ac:dyDescent="0.35">
      <c r="C15" s="5"/>
      <c r="D15" s="5"/>
      <c r="E15" s="5"/>
      <c r="F15" s="5"/>
      <c r="G15" s="67" t="s">
        <v>179</v>
      </c>
      <c r="H15" s="78">
        <f>E8</f>
        <v>5237932895</v>
      </c>
      <c r="I15" s="68">
        <f>E8</f>
        <v>5237932895</v>
      </c>
      <c r="J15" s="68">
        <f>E8</f>
        <v>5237932895</v>
      </c>
      <c r="K15" s="68">
        <f>E8</f>
        <v>5237932895</v>
      </c>
      <c r="L15" s="68">
        <f>E8</f>
        <v>5237932895</v>
      </c>
      <c r="M15" s="68">
        <f>E8</f>
        <v>5237932895</v>
      </c>
    </row>
    <row r="16" spans="3:13" x14ac:dyDescent="0.35">
      <c r="C16" s="5"/>
      <c r="D16" s="5"/>
      <c r="E16" s="5"/>
      <c r="F16" s="5"/>
      <c r="G16" s="67" t="s">
        <v>180</v>
      </c>
      <c r="H16" s="79">
        <f>H14/H15</f>
        <v>0.18815921115522183</v>
      </c>
      <c r="I16" s="80">
        <f t="shared" ref="I16:M16" si="2">I14/I15</f>
        <v>0.22108707310738568</v>
      </c>
      <c r="J16" s="80">
        <f t="shared" si="2"/>
        <v>0.25977731090117817</v>
      </c>
      <c r="K16" s="80">
        <f t="shared" si="2"/>
        <v>0.30523834030888436</v>
      </c>
      <c r="L16" s="80">
        <f t="shared" si="2"/>
        <v>0.35865504986293917</v>
      </c>
      <c r="M16" s="80">
        <f t="shared" si="2"/>
        <v>0.42141968358895365</v>
      </c>
    </row>
    <row r="17" spans="3:13" x14ac:dyDescent="0.35">
      <c r="C17" s="5"/>
      <c r="D17" s="5"/>
      <c r="E17" s="5"/>
      <c r="F17" s="5"/>
      <c r="G17" s="67" t="s">
        <v>149</v>
      </c>
      <c r="H17" s="67"/>
      <c r="I17" s="67"/>
      <c r="J17" s="67"/>
      <c r="K17" s="67"/>
      <c r="L17" s="67"/>
      <c r="M17" s="80">
        <f>M16/(I5-I4)</f>
        <v>1.5916834186967437</v>
      </c>
    </row>
    <row r="18" spans="3:13" x14ac:dyDescent="0.35">
      <c r="C18" s="5"/>
      <c r="D18" s="5"/>
      <c r="E18" s="5"/>
      <c r="F18" s="5"/>
      <c r="G18" s="67" t="s">
        <v>140</v>
      </c>
      <c r="H18" s="80">
        <f>H16</f>
        <v>0.18815921115522183</v>
      </c>
      <c r="I18" s="80">
        <f>I16</f>
        <v>0.22108707310738568</v>
      </c>
      <c r="J18" s="80">
        <f>J16</f>
        <v>0.25977731090117817</v>
      </c>
      <c r="K18" s="80">
        <f>K16</f>
        <v>0.30523834030888436</v>
      </c>
      <c r="L18" s="80">
        <f>L16+M17</f>
        <v>1.950338468559683</v>
      </c>
      <c r="M18" s="67"/>
    </row>
    <row r="19" spans="3:13" x14ac:dyDescent="0.35">
      <c r="C19" s="5"/>
      <c r="D19" s="5"/>
      <c r="E19" s="5"/>
      <c r="F19" s="5"/>
      <c r="G19" s="69" t="s">
        <v>181</v>
      </c>
      <c r="H19" s="70">
        <f>NPV(I5,H18:L18)*(1+I5)^0.5</f>
        <v>1.2626196260448392</v>
      </c>
      <c r="I19" s="67"/>
      <c r="J19" s="67"/>
      <c r="K19" s="67"/>
      <c r="L19" s="67"/>
      <c r="M19" s="67"/>
    </row>
    <row r="20" spans="3:13" x14ac:dyDescent="0.35">
      <c r="C20" s="5"/>
      <c r="D20" s="5"/>
      <c r="E20" s="5"/>
      <c r="F20" s="5"/>
      <c r="G20" s="67"/>
      <c r="H20" s="67"/>
      <c r="I20" s="67"/>
      <c r="J20" s="67"/>
      <c r="K20" s="67"/>
      <c r="L20" s="67"/>
      <c r="M20" s="67"/>
    </row>
    <row r="21" spans="3:13" x14ac:dyDescent="0.35">
      <c r="C21" s="5"/>
      <c r="D21" s="5"/>
      <c r="E21" s="5"/>
      <c r="F21" s="5"/>
      <c r="G21" s="67"/>
      <c r="H21" s="67"/>
      <c r="I21" s="67"/>
      <c r="J21" s="67"/>
      <c r="K21" s="67"/>
      <c r="L21" s="67"/>
      <c r="M21" s="67"/>
    </row>
  </sheetData>
  <mergeCells count="1">
    <mergeCell ref="C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 Statement-Robi</vt:lpstr>
      <vt:lpstr>Balance Sheet-Robi</vt:lpstr>
      <vt:lpstr>Cash Flow-Robi</vt:lpstr>
      <vt:lpstr>Cost of Debt</vt:lpstr>
      <vt:lpstr>Cost of Equity</vt:lpstr>
      <vt:lpstr>TAX</vt:lpstr>
      <vt:lpstr>FCF</vt:lpstr>
      <vt:lpstr>CFFA</vt:lpstr>
      <vt:lpstr>FCFF &amp; FCFE</vt:lpstr>
      <vt:lpstr>FCFF Valuation</vt:lpstr>
      <vt:lpstr>FCFE Valuation</vt:lpstr>
      <vt:lpstr>DDM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Sabir Ahmed Ami</dc:creator>
  <cp:lastModifiedBy>User</cp:lastModifiedBy>
  <dcterms:created xsi:type="dcterms:W3CDTF">2026-09-08T05:39:48Z</dcterms:created>
  <dcterms:modified xsi:type="dcterms:W3CDTF">2026-09-09T10:19:28Z</dcterms:modified>
</cp:coreProperties>
</file>