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ci" sheetId="2" state="visible" r:id="rId4"/>
    <sheet name="apexfoot" sheetId="3" state="visible" r:id="rId5"/>
    <sheet name="bxpharma" sheetId="4" state="visible" r:id="rId6"/>
    <sheet name="batb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<sst xmlns="http://schemas.openxmlformats.org/spreadsheetml/2006/main" count="1076" uniqueCount="76">
  <si>
    <t xml:space="preserve">ACI</t>
  </si>
  <si>
    <t xml:space="preserve">APEXFOOT</t>
  </si>
  <si>
    <t xml:space="preserve">BXPHARMA</t>
  </si>
  <si>
    <t xml:space="preserve">BATBC</t>
  </si>
  <si>
    <t xml:space="preserve">Return A</t>
  </si>
  <si>
    <t xml:space="preserve">Return B</t>
  </si>
  <si>
    <t xml:space="preserve">Return C</t>
  </si>
  <si>
    <t xml:space="preserve">Return D</t>
  </si>
  <si>
    <t xml:space="preserve">A</t>
  </si>
  <si>
    <t xml:space="preserve">B</t>
  </si>
  <si>
    <t xml:space="preserve">C</t>
  </si>
  <si>
    <t xml:space="preserve">D</t>
  </si>
  <si>
    <t xml:space="preserve">WA</t>
  </si>
  <si>
    <t xml:space="preserve">WB</t>
  </si>
  <si>
    <t xml:space="preserve">WC</t>
  </si>
  <si>
    <t xml:space="preserve">WD</t>
  </si>
  <si>
    <t xml:space="preserve">Total Weight</t>
  </si>
  <si>
    <t xml:space="preserve">Real WA</t>
  </si>
  <si>
    <t xml:space="preserve">Real WB</t>
  </si>
  <si>
    <t xml:space="preserve">Real WC</t>
  </si>
  <si>
    <t xml:space="preserve">Real WD</t>
  </si>
  <si>
    <t xml:space="preserve">Effective Weight</t>
  </si>
  <si>
    <t xml:space="preserve">Portfolio Variance</t>
  </si>
  <si>
    <t xml:space="preserve">Portfolio Return</t>
  </si>
  <si>
    <t xml:space="preserve">Sharpe Ratio</t>
  </si>
  <si>
    <t xml:space="preserve">MAX SHARPE PORTFOLIO</t>
  </si>
  <si>
    <t xml:space="preserve">Max Sharpe Ratio</t>
  </si>
  <si>
    <t xml:space="preserve">Max Portfolio Return</t>
  </si>
  <si>
    <t xml:space="preserve">Max Portfolio Variance</t>
  </si>
  <si>
    <t xml:space="preserve">Weight A</t>
  </si>
  <si>
    <t xml:space="preserve">Risk Free (stray input, see note)</t>
  </si>
  <si>
    <t xml:space="preserve">Weight B</t>
  </si>
  <si>
    <t xml:space="preserve">Weight C</t>
  </si>
  <si>
    <t xml:space="preserve">Weight D</t>
  </si>
  <si>
    <t xml:space="preserve">Risk Free Rate</t>
  </si>
  <si>
    <t xml:space="preserve">Covariance Matrix</t>
  </si>
  <si>
    <t xml:space="preserve">Model Notes</t>
  </si>
  <si>
    <t xml:space="preserve">Assets: A=ACI, B=APEXFOOT, C=BXPHARMA, D=BATBC.</t>
  </si>
  <si>
    <t xml:space="preserve">Price data (aci/apexfoot/bxpharma/batbc tabs) is REAL historical DSE data,</t>
  </si>
  <si>
    <t xml:space="preserve">sourced from the Kaggle dataset 'Dhaka Stock Exchange Historical Data</t>
  </si>
  <si>
    <t xml:space="preserve">(1999-2025)' by shazidulislam (also mirrored on Mendeley Data / Harvard</t>
  </si>
  <si>
    <t xml:space="preserve">Dataverse). Filtered to these 4 tickers, common window 2024-04-08 to</t>
  </si>
  <si>
    <t xml:space="preserve">2025-04-08 (235 real trading days, identical calendar across all 4 stocks).</t>
  </si>
  <si>
    <t xml:space="preserve">TRADE (number of trades) is not present in the source dataset (left blank).</t>
  </si>
  <si>
    <t xml:space="preserve">A handful of halted-trading days (0 Open/High/Low/Volume in source) were</t>
  </si>
  <si>
    <t xml:space="preserve">patched by carrying that day's Close into Open/High/Low; Volume stayed 0.</t>
  </si>
  <si>
    <t xml:space="preserve">NOTE: the 234 simulated portfolio weights (columns S:V) have been</t>
  </si>
  <si>
    <t xml:space="preserve">FROZEN to fixed values (no longer live RANDBETWEEN formulas), so the</t>
  </si>
  <si>
    <t xml:space="preserve">results reported here match this file exactly, every time it is opened.</t>
  </si>
  <si>
    <t xml:space="preserve">   NEWER one -- an exact sign inversion of every return (confirmed: it</t>
  </si>
  <si>
    <t xml:space="preserve">   reported -25.7% for a stock that actually gained +29.3%). Covariance/</t>
  </si>
  <si>
    <t xml:space="preserve">   variance are unaffected by a uniform sign flip, but Average Return,</t>
  </si>
  <si>
    <t xml:space="preserve">   Portfolio Return and the Sharpe ratio numerator were all backwards.</t>
  </si>
  <si>
    <t xml:space="preserve">   Fixed to LN(row-1/row), the correct forward-in-time direction.</t>
  </si>
  <si>
    <t xml:space="preserve">2) Portfolio Return formula: the original referenced a single day's</t>
  </si>
  <si>
    <t xml:space="preserve">   return instead of the AVERAGE(row3:235) row it had already built but</t>
  </si>
  <si>
    <t xml:space="preserve">   never wired in (an off-by-one reference bug). Fixed to use a genuine</t>
  </si>
  <si>
    <t xml:space="preserve">   AVERAGE(row 3:236) per asset (row 237) as the expected-return input.</t>
  </si>
  <si>
    <t xml:space="preserve">The summary box's Risk-Free Rate divides a separately-hardcoded RF cell</t>
  </si>
  <si>
    <t xml:space="preserve">by 235 (vs. 236 elsewhere) -- a harmless inconsistency (both equal 9.75%)</t>
  </si>
  <si>
    <t xml:space="preserve">faithfully carried over from the original workbook.</t>
  </si>
  <si>
    <t xml:space="preserve">Avg Return -&gt;</t>
  </si>
  <si>
    <t xml:space="preserve">#</t>
  </si>
  <si>
    <t xml:space="preserve">DATE</t>
  </si>
  <si>
    <t xml:space="preserve">TRADING CODE</t>
  </si>
  <si>
    <t xml:space="preserve">LTP*</t>
  </si>
  <si>
    <t xml:space="preserve">HIGH</t>
  </si>
  <si>
    <t xml:space="preserve">LOW</t>
  </si>
  <si>
    <t xml:space="preserve">OPENP*</t>
  </si>
  <si>
    <t xml:space="preserve">CLOSEP*</t>
  </si>
  <si>
    <t xml:space="preserve">YCP</t>
  </si>
  <si>
    <t xml:space="preserve">TRADE</t>
  </si>
  <si>
    <t xml:space="preserve">VALUE (mn)</t>
  </si>
  <si>
    <t xml:space="preserve">VOLUME</t>
  </si>
  <si>
    <t xml:space="preserve">Source</t>
  </si>
  <si>
    <t xml:space="preserve">Kaggle: Dhaka Stock Exchange Historical Data (1999-2025), by shazidulislam (also mirrored on Mendeley Data / Harvard Dataverse). Real DSE daily OHLCV, filtered to this ticker, 2024-04-08 to 2025-04-08. TRADE (number of trades) is not present in the source dataset and is left blank.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</si>
</sst>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00000"/>
    <numFmt numFmtId="167" formatCode="General"/>
    <numFmt numFmtId="168" formatCode="0.0%"/>
    <numFmt numFmtId="169" formatCode="0.0000"/>
    <numFmt numFmtId="170" formatCode="0.00%"/>
    <numFmt numFmtId="171" formatCode="0.000000%"/>
    <numFmt numFmtId="172" formatCode="yyyy\-mm\-dd"/>
    <numFmt numFmtId="173" formatCode="0.000"/>
    <numFmt numFmtId="174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i val="true"/>
      <sz val="8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0"/>
    <col collapsed="false" customWidth="true" hidden="false" outlineLevel="0" max="8" min="5" style="1" width="11"/>
    <col collapsed="false" customWidth="true" hidden="false" outlineLevel="0" max="12" min="9" style="1" width="12"/>
    <col collapsed="false" customWidth="true" hidden="false" outlineLevel="0" max="17" min="14" style="1" width="13"/>
    <col collapsed="false" customWidth="true" hidden="false" outlineLevel="0" max="22" min="19" style="1" width="8"/>
    <col collapsed="false" customWidth="true" hidden="false" outlineLevel="0" max="23" min="23" style="1" width="12"/>
    <col collapsed="false" customWidth="true" hidden="false" outlineLevel="0" max="27" min="24" style="1" width="10"/>
    <col collapsed="false" customWidth="true" hidden="false" outlineLevel="0" max="28" min="28" style="1" width="14"/>
    <col collapsed="false" customWidth="true" hidden="false" outlineLevel="0" max="30" min="29" style="1" width="15"/>
    <col collapsed="false" customWidth="true" hidden="false" outlineLevel="0" max="31" min="31" style="1" width="12"/>
    <col collapsed="false" customWidth="true" hidden="false" outlineLevel="0" max="39" min="39" style="1" width="20"/>
    <col collapsed="false" customWidth="true" hidden="false" outlineLevel="0" max="40" min="40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5</v>
      </c>
      <c r="K1" s="2" t="s">
        <v>6</v>
      </c>
      <c r="L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23</v>
      </c>
      <c r="AG1" s="2" t="s">
        <v>22</v>
      </c>
      <c r="AH1" s="2" t="s">
        <v>17</v>
      </c>
      <c r="AI1" s="2" t="s">
        <v>18</v>
      </c>
      <c r="AJ1" s="2" t="s">
        <v>19</v>
      </c>
      <c r="AK1" s="2" t="s">
        <v>20</v>
      </c>
      <c r="AM1" s="3" t="s">
        <v>25</v>
      </c>
      <c r="AN1" s="4"/>
    </row>
    <row r="2" customFormat="false" ht="15" hidden="false" customHeight="true" outlineLevel="0" collapsed="false">
      <c r="A2" s="5" t="n">
        <f aca="false">aci!H3</f>
        <v>200.7</v>
      </c>
      <c r="B2" s="5" t="n">
        <f aca="false">apexfoot!H3</f>
        <v>214</v>
      </c>
      <c r="C2" s="5" t="n">
        <f aca="false">bxpharma!H3</f>
        <v>109.2</v>
      </c>
      <c r="D2" s="5" t="n">
        <f aca="false">batbc!H3</f>
        <v>321.8</v>
      </c>
      <c r="E2" s="6"/>
      <c r="F2" s="6"/>
      <c r="G2" s="6"/>
      <c r="H2" s="6"/>
      <c r="I2" s="7" t="n">
        <f aca="false">9.75%/236</f>
        <v>0.000413135593220339</v>
      </c>
      <c r="J2" s="7" t="n">
        <f aca="false">9.75%/236</f>
        <v>0.000413135593220339</v>
      </c>
      <c r="K2" s="7" t="n">
        <f aca="false">9.75%/236</f>
        <v>0.000413135593220339</v>
      </c>
      <c r="L2" s="7" t="n">
        <f aca="false">9.75%/236</f>
        <v>0.000413135593220339</v>
      </c>
      <c r="N2" s="8" t="n">
        <f aca="false">_xlfn.VAR.S(I3:I236)</f>
        <v>0.000739253557085058</v>
      </c>
      <c r="O2" s="8" t="n">
        <f aca="false">_xlfn.COVARIANCE.S(I3:I236,J3:J236)</f>
        <v>0.000136522185590418</v>
      </c>
      <c r="P2" s="8" t="n">
        <f aca="false">_xlfn.COVARIANCE.S(I3:I236,K3:K236)</f>
        <v>0.000179292976292013</v>
      </c>
      <c r="Q2" s="8" t="n">
        <f aca="false">_xlfn.COVARIANCE.S(I3:I236,L3:L236)</f>
        <v>0.00026324613766702</v>
      </c>
      <c r="S2" s="9" t="n">
        <v>0.08</v>
      </c>
      <c r="T2" s="9" t="n">
        <v>0.01</v>
      </c>
      <c r="U2" s="9" t="n">
        <v>0.74</v>
      </c>
      <c r="V2" s="9" t="n">
        <v>0.05</v>
      </c>
      <c r="W2" s="5" t="n">
        <f aca="false">SUM(S2:V2)</f>
        <v>0.88</v>
      </c>
      <c r="X2" s="10" t="n">
        <f aca="false">S2/$W2</f>
        <v>0.0909090909090909</v>
      </c>
      <c r="Y2" s="10" t="n">
        <f aca="false">T2/$W2</f>
        <v>0.0113636363636364</v>
      </c>
      <c r="Z2" s="10" t="n">
        <f aca="false">U2/$W2</f>
        <v>0.840909090909091</v>
      </c>
      <c r="AA2" s="10" t="n">
        <f aca="false">V2/$W2</f>
        <v>0.0568181818181818</v>
      </c>
      <c r="AB2" s="10" t="n">
        <f aca="false">SUM(X2:AA2)</f>
        <v>1</v>
      </c>
      <c r="AC2" s="7" t="n">
        <f aca="false" t="array" ref="AC2:AC2">MMULT(MMULT(X2:AA2,$N$2:$Q$5),TRANSPOSE(X2:AA2))</f>
        <v>0.000443273366526344</v>
      </c>
      <c r="AD2" s="7" t="n">
        <f aca="false">SUMPRODUCT(X2:AA2,$E$237:$H$237)</f>
        <v>-0.000302548394079405</v>
      </c>
      <c r="AE2" s="11" t="n">
        <f aca="false">(AD2-$I$2)/SQRT(AC2)</f>
        <v>-0.0339926859056104</v>
      </c>
      <c r="AF2" s="7" t="n">
        <f aca="false">AD2</f>
        <v>-0.000302548394079405</v>
      </c>
      <c r="AG2" s="7" t="n">
        <f aca="false">AC2</f>
        <v>0.000443273366526344</v>
      </c>
      <c r="AH2" s="10" t="n">
        <f aca="false">X2</f>
        <v>0.0909090909090909</v>
      </c>
      <c r="AI2" s="10" t="n">
        <f aca="false">Y2</f>
        <v>0.0113636363636364</v>
      </c>
      <c r="AJ2" s="10" t="n">
        <f aca="false">Z2</f>
        <v>0.840909090909091</v>
      </c>
      <c r="AK2" s="10" t="n">
        <f aca="false">AA2</f>
        <v>0.0568181818181818</v>
      </c>
      <c r="AM2" s="3" t="s">
        <v>26</v>
      </c>
      <c r="AN2" s="12" t="n">
        <f aca="false">MAX(AE2:AE235)</f>
        <v>0.0076399400556457</v>
      </c>
    </row>
    <row r="3" customFormat="false" ht="15" hidden="false" customHeight="true" outlineLevel="0" collapsed="false">
      <c r="A3" s="5" t="n">
        <f aca="false">aci!H4</f>
        <v>201.9</v>
      </c>
      <c r="B3" s="5" t="n">
        <f aca="false">apexfoot!H4</f>
        <v>208.3</v>
      </c>
      <c r="C3" s="5" t="n">
        <f aca="false">bxpharma!H4</f>
        <v>107.7</v>
      </c>
      <c r="D3" s="5" t="n">
        <f aca="false">batbc!H4</f>
        <v>320.4</v>
      </c>
      <c r="E3" s="7" t="n">
        <f aca="false">LN(A2/A3)</f>
        <v>-0.00596126951649945</v>
      </c>
      <c r="F3" s="7" t="n">
        <f aca="false">LN(B2/B3)</f>
        <v>0.0269966667549251</v>
      </c>
      <c r="G3" s="7" t="n">
        <f aca="false">LN(C2/C3)</f>
        <v>0.0138314791484618</v>
      </c>
      <c r="H3" s="7" t="n">
        <f aca="false">LN(D2/D3)</f>
        <v>0.0043600193640788</v>
      </c>
      <c r="I3" s="7" t="n">
        <f aca="false">E3-$I$2</f>
        <v>-0.00637440510971978</v>
      </c>
      <c r="J3" s="7" t="n">
        <f aca="false">F3-$J$2</f>
        <v>0.0265835311617047</v>
      </c>
      <c r="K3" s="7" t="n">
        <f aca="false">G3-$K$2</f>
        <v>0.0134183435552415</v>
      </c>
      <c r="L3" s="7" t="n">
        <f aca="false">H3-$L$2</f>
        <v>0.00394688377085846</v>
      </c>
      <c r="N3" s="8" t="n">
        <f aca="false">_xlfn.COVARIANCE.S(J3:J236,I3:I236)</f>
        <v>0.000136522185590418</v>
      </c>
      <c r="O3" s="8" t="n">
        <f aca="false">_xlfn.VAR.S(J3:J236)</f>
        <v>0.000316535943022562</v>
      </c>
      <c r="P3" s="8" t="n">
        <f aca="false">_xlfn.COVARIANCE.S(J3:J236,K3:K236)</f>
        <v>7.52834546279457E-005</v>
      </c>
      <c r="Q3" s="8" t="n">
        <f aca="false">_xlfn.COVARIANCE.S(J3:J236,L3:L236)</f>
        <v>0.000142656676789829</v>
      </c>
      <c r="S3" s="9" t="n">
        <v>0.74</v>
      </c>
      <c r="T3" s="9" t="n">
        <v>0.64</v>
      </c>
      <c r="U3" s="9" t="n">
        <v>0.67</v>
      </c>
      <c r="V3" s="9" t="n">
        <v>0.56</v>
      </c>
      <c r="W3" s="5" t="n">
        <f aca="false">SUM(S3:V3)</f>
        <v>2.61</v>
      </c>
      <c r="X3" s="10" t="n">
        <f aca="false">S3/$W3</f>
        <v>0.283524904214559</v>
      </c>
      <c r="Y3" s="10" t="n">
        <f aca="false">T3/$W3</f>
        <v>0.245210727969349</v>
      </c>
      <c r="Z3" s="10" t="n">
        <f aca="false">U3/$W3</f>
        <v>0.256704980842912</v>
      </c>
      <c r="AA3" s="10" t="n">
        <f aca="false">V3/$W3</f>
        <v>0.21455938697318</v>
      </c>
      <c r="AB3" s="10" t="n">
        <f aca="false">SUM(X3:AA3)</f>
        <v>1</v>
      </c>
      <c r="AC3" s="7" t="n">
        <f aca="false" t="array" ref="AC3:AC3">MMULT(MMULT(X3:AA3,$N$2:$Q$5),TRANSPOSE(X3:AA3))</f>
        <v>0.000240257634207848</v>
      </c>
      <c r="AD3" s="7" t="n">
        <f aca="false">SUMPRODUCT(X3:AA3,$E$237:$H$237)</f>
        <v>-0.000162053277906276</v>
      </c>
      <c r="AE3" s="11" t="n">
        <f aca="false">(AD3-$I$2)/SQRT(AC3)</f>
        <v>-0.0371083698525851</v>
      </c>
      <c r="AF3" s="7" t="n">
        <f aca="false">AD3</f>
        <v>-0.000162053277906276</v>
      </c>
      <c r="AG3" s="7" t="n">
        <f aca="false">AC3</f>
        <v>0.000240257634207848</v>
      </c>
      <c r="AH3" s="10" t="n">
        <f aca="false">X3</f>
        <v>0.283524904214559</v>
      </c>
      <c r="AI3" s="10" t="n">
        <f aca="false">Y3</f>
        <v>0.245210727969349</v>
      </c>
      <c r="AJ3" s="10" t="n">
        <f aca="false">Z3</f>
        <v>0.256704980842912</v>
      </c>
      <c r="AK3" s="10" t="n">
        <f aca="false">AA3</f>
        <v>0.21455938697318</v>
      </c>
      <c r="AM3" s="3" t="s">
        <v>27</v>
      </c>
      <c r="AN3" s="13" t="n">
        <f aca="false">VLOOKUP(AN2,AE2:AF235,2,FALSE())</f>
        <v>0.000578183485670439</v>
      </c>
    </row>
    <row r="4" customFormat="false" ht="15" hidden="false" customHeight="true" outlineLevel="0" collapsed="false">
      <c r="A4" s="5" t="n">
        <f aca="false">aci!H5</f>
        <v>197.5</v>
      </c>
      <c r="B4" s="5" t="n">
        <f aca="false">apexfoot!H5</f>
        <v>205.6</v>
      </c>
      <c r="C4" s="5" t="n">
        <f aca="false">bxpharma!H5</f>
        <v>108.8</v>
      </c>
      <c r="D4" s="5" t="n">
        <f aca="false">batbc!H5</f>
        <v>320.7</v>
      </c>
      <c r="E4" s="7" t="n">
        <f aca="false">LN(A3/A4)</f>
        <v>0.0220339409776152</v>
      </c>
      <c r="F4" s="7" t="n">
        <f aca="false">LN(B3/B4)</f>
        <v>0.0130468146859164</v>
      </c>
      <c r="G4" s="7" t="n">
        <f aca="false">LN(C3/C4)</f>
        <v>-0.0101617502594993</v>
      </c>
      <c r="H4" s="7" t="n">
        <f aca="false">LN(D3/D4)</f>
        <v>-0.000935891504905092</v>
      </c>
      <c r="I4" s="7" t="n">
        <f aca="false">E4-$I$2</f>
        <v>0.0216208053843949</v>
      </c>
      <c r="J4" s="7" t="n">
        <f aca="false">F4-$J$2</f>
        <v>0.0126336790926961</v>
      </c>
      <c r="K4" s="7" t="n">
        <f aca="false">G4-$K$2</f>
        <v>-0.0105748858527196</v>
      </c>
      <c r="L4" s="7" t="n">
        <f aca="false">H4-$L$2</f>
        <v>-0.00134902709812543</v>
      </c>
      <c r="N4" s="8" t="n">
        <f aca="false">_xlfn.COVARIANCE.S(K3:K236,I3:I236)</f>
        <v>0.000179292976292013</v>
      </c>
      <c r="O4" s="8" t="n">
        <f aca="false">_xlfn.COVARIANCE.S(K3:K236,J3:J236)</f>
        <v>7.52834546279457E-005</v>
      </c>
      <c r="P4" s="8" t="n">
        <f aca="false">_xlfn.VAR.S(K3:K236)</f>
        <v>0.000561802244770866</v>
      </c>
      <c r="Q4" s="8" t="n">
        <f aca="false">_xlfn.COVARIANCE.S(K3:K236,L3:L236)</f>
        <v>7.05226955319571E-005</v>
      </c>
      <c r="S4" s="9" t="n">
        <v>0.83</v>
      </c>
      <c r="T4" s="9" t="n">
        <v>0.89</v>
      </c>
      <c r="U4" s="9" t="n">
        <v>0.05</v>
      </c>
      <c r="V4" s="9" t="n">
        <v>0.1</v>
      </c>
      <c r="W4" s="5" t="n">
        <f aca="false">SUM(S4:V4)</f>
        <v>1.87</v>
      </c>
      <c r="X4" s="10" t="n">
        <f aca="false">S4/$W4</f>
        <v>0.443850267379679</v>
      </c>
      <c r="Y4" s="10" t="n">
        <f aca="false">T4/$W4</f>
        <v>0.475935828877005</v>
      </c>
      <c r="Z4" s="10" t="n">
        <f aca="false">U4/$W4</f>
        <v>0.0267379679144385</v>
      </c>
      <c r="AA4" s="10" t="n">
        <f aca="false">V4/$W4</f>
        <v>0.053475935828877</v>
      </c>
      <c r="AB4" s="10" t="n">
        <f aca="false">SUM(X4:AA4)</f>
        <v>1</v>
      </c>
      <c r="AC4" s="7" t="n">
        <f aca="false" t="array" ref="AC4:AC4">MMULT(MMULT(X4:AA4,$N$2:$Q$5),TRANSPOSE(X4:AA4))</f>
        <v>0.000302504600652502</v>
      </c>
      <c r="AD4" s="7" t="n">
        <f aca="false">SUMPRODUCT(X4:AA4,$E$237:$H$237)</f>
        <v>0.000117536643215597</v>
      </c>
      <c r="AE4" s="11" t="n">
        <f aca="false">(AD4-$I$2)/SQRT(AC4)</f>
        <v>-0.0169956154132863</v>
      </c>
      <c r="AF4" s="7" t="n">
        <f aca="false">AD4</f>
        <v>0.000117536643215597</v>
      </c>
      <c r="AG4" s="7" t="n">
        <f aca="false">AC4</f>
        <v>0.000302504600652502</v>
      </c>
      <c r="AH4" s="10" t="n">
        <f aca="false">X4</f>
        <v>0.443850267379679</v>
      </c>
      <c r="AI4" s="10" t="n">
        <f aca="false">Y4</f>
        <v>0.475935828877005</v>
      </c>
      <c r="AJ4" s="10" t="n">
        <f aca="false">Z4</f>
        <v>0.0267379679144385</v>
      </c>
      <c r="AK4" s="10" t="n">
        <f aca="false">AA4</f>
        <v>0.053475935828877</v>
      </c>
      <c r="AM4" s="3" t="s">
        <v>28</v>
      </c>
      <c r="AN4" s="14" t="n">
        <f aca="false">VLOOKUP(AN2,AE2:AG235,3,FALSE())</f>
        <v>0.000466702432028165</v>
      </c>
    </row>
    <row r="5" customFormat="false" ht="15" hidden="false" customHeight="true" outlineLevel="0" collapsed="false">
      <c r="A5" s="5" t="n">
        <f aca="false">aci!H6</f>
        <v>183.9</v>
      </c>
      <c r="B5" s="5" t="n">
        <f aca="false">apexfoot!H6</f>
        <v>206.9</v>
      </c>
      <c r="C5" s="5" t="n">
        <f aca="false">bxpharma!H6</f>
        <v>99.1</v>
      </c>
      <c r="D5" s="5" t="n">
        <f aca="false">batbc!H6</f>
        <v>323.4</v>
      </c>
      <c r="E5" s="7" t="n">
        <f aca="false">LN(A4/A5)</f>
        <v>0.0713464527309011</v>
      </c>
      <c r="F5" s="7" t="n">
        <f aca="false">LN(B4/B5)</f>
        <v>-0.00630305117048731</v>
      </c>
      <c r="G5" s="7" t="n">
        <f aca="false">LN(C4/C5)</f>
        <v>0.0933818930859001</v>
      </c>
      <c r="H5" s="7" t="n">
        <f aca="false">LN(D4/D5)</f>
        <v>-0.00838384044389722</v>
      </c>
      <c r="I5" s="7" t="n">
        <f aca="false">E5-$I$2</f>
        <v>0.0709333171376808</v>
      </c>
      <c r="J5" s="7" t="n">
        <f aca="false">F5-$J$2</f>
        <v>-0.00671618676370765</v>
      </c>
      <c r="K5" s="7" t="n">
        <f aca="false">G5-$K$2</f>
        <v>0.0929687574926797</v>
      </c>
      <c r="L5" s="7" t="n">
        <f aca="false">H5-$L$2</f>
        <v>-0.00879697603711756</v>
      </c>
      <c r="N5" s="8" t="n">
        <f aca="false">_xlfn.COVARIANCE.S(L3:L236,I3:I236)</f>
        <v>0.00026324613766702</v>
      </c>
      <c r="O5" s="8" t="n">
        <f aca="false">_xlfn.COVARIANCE.S(L3:L236,J3:J236)</f>
        <v>0.000142656676789829</v>
      </c>
      <c r="P5" s="8" t="n">
        <f aca="false">_xlfn.COVARIANCE.S(L3:L236,K3:K236)</f>
        <v>7.05226955319571E-005</v>
      </c>
      <c r="Q5" s="8" t="n">
        <f aca="false">_xlfn.VAR.S(L3:L236)</f>
        <v>0.000334754070369689</v>
      </c>
      <c r="S5" s="9" t="n">
        <v>0.14</v>
      </c>
      <c r="T5" s="9" t="n">
        <v>0.06</v>
      </c>
      <c r="U5" s="9" t="n">
        <v>0.43</v>
      </c>
      <c r="V5" s="9" t="n">
        <v>0.71</v>
      </c>
      <c r="W5" s="5" t="n">
        <f aca="false">SUM(S5:V5)</f>
        <v>1.34</v>
      </c>
      <c r="X5" s="10" t="n">
        <f aca="false">S5/$W5</f>
        <v>0.104477611940299</v>
      </c>
      <c r="Y5" s="10" t="n">
        <f aca="false">T5/$W5</f>
        <v>0.0447761194029851</v>
      </c>
      <c r="Z5" s="10" t="n">
        <f aca="false">U5/$W5</f>
        <v>0.32089552238806</v>
      </c>
      <c r="AA5" s="10" t="n">
        <f aca="false">V5/$W5</f>
        <v>0.529850746268657</v>
      </c>
      <c r="AB5" s="10" t="n">
        <f aca="false">SUM(X5:AA5)</f>
        <v>1</v>
      </c>
      <c r="AC5" s="7" t="n">
        <f aca="false" t="array" ref="AC5:AC5">MMULT(MMULT(X5:AA5,$N$2:$Q$5),TRANSPOSE(X5:AA5))</f>
        <v>0.000235893057078431</v>
      </c>
      <c r="AD5" s="7" t="n">
        <f aca="false">SUMPRODUCT(X5:AA5,$E$237:$H$237)</f>
        <v>-0.000567422141778447</v>
      </c>
      <c r="AE5" s="11" t="n">
        <f aca="false">(AD5-$I$2)/SQRT(AC5)</f>
        <v>-0.0638433387155087</v>
      </c>
      <c r="AF5" s="7" t="n">
        <f aca="false">AD5</f>
        <v>-0.000567422141778447</v>
      </c>
      <c r="AG5" s="7" t="n">
        <f aca="false">AC5</f>
        <v>0.000235893057078431</v>
      </c>
      <c r="AH5" s="10" t="n">
        <f aca="false">X5</f>
        <v>0.104477611940299</v>
      </c>
      <c r="AI5" s="10" t="n">
        <f aca="false">Y5</f>
        <v>0.0447761194029851</v>
      </c>
      <c r="AJ5" s="10" t="n">
        <f aca="false">Z5</f>
        <v>0.32089552238806</v>
      </c>
      <c r="AK5" s="10" t="n">
        <f aca="false">AA5</f>
        <v>0.529850746268657</v>
      </c>
      <c r="AM5" s="3" t="s">
        <v>29</v>
      </c>
      <c r="AN5" s="15" t="n">
        <f aca="false">VLOOKUP(AN2,AE2:AH235,4,FALSE())</f>
        <v>0.704918032786885</v>
      </c>
    </row>
    <row r="6" customFormat="false" ht="15" hidden="false" customHeight="true" outlineLevel="0" collapsed="false">
      <c r="A6" s="5" t="n">
        <f aca="false">aci!H7</f>
        <v>181.2</v>
      </c>
      <c r="B6" s="5" t="n">
        <f aca="false">apexfoot!H7</f>
        <v>206</v>
      </c>
      <c r="C6" s="5" t="n">
        <f aca="false">bxpharma!H7</f>
        <v>101.6</v>
      </c>
      <c r="D6" s="5" t="n">
        <f aca="false">batbc!H7</f>
        <v>323.9</v>
      </c>
      <c r="E6" s="7" t="n">
        <f aca="false">LN(A5/A6)</f>
        <v>0.0147907380013965</v>
      </c>
      <c r="F6" s="7" t="n">
        <f aca="false">LN(B5/B6)</f>
        <v>0.00435941596191624</v>
      </c>
      <c r="G6" s="7" t="n">
        <f aca="false">LN(C5/C6)</f>
        <v>-0.0249140938084392</v>
      </c>
      <c r="H6" s="7" t="n">
        <f aca="false">LN(D5/D6)</f>
        <v>-0.00154487903427718</v>
      </c>
      <c r="I6" s="7" t="n">
        <f aca="false">E6-$I$2</f>
        <v>0.0143776024081761</v>
      </c>
      <c r="J6" s="7" t="n">
        <f aca="false">F6-$J$2</f>
        <v>0.0039462803686959</v>
      </c>
      <c r="K6" s="7" t="n">
        <f aca="false">G6-$K$2</f>
        <v>-0.0253272294016595</v>
      </c>
      <c r="L6" s="7" t="n">
        <f aca="false">H6-$L$2</f>
        <v>-0.00195801462749752</v>
      </c>
      <c r="N6" s="16" t="s">
        <v>30</v>
      </c>
      <c r="O6" s="17" t="n">
        <v>0.0975</v>
      </c>
      <c r="S6" s="9" t="n">
        <v>0.65</v>
      </c>
      <c r="T6" s="9" t="n">
        <v>0.78</v>
      </c>
      <c r="U6" s="9" t="n">
        <v>0.32</v>
      </c>
      <c r="V6" s="9" t="n">
        <v>0.9</v>
      </c>
      <c r="W6" s="5" t="n">
        <f aca="false">SUM(S6:V6)</f>
        <v>2.65</v>
      </c>
      <c r="X6" s="10" t="n">
        <f aca="false">S6/$W6</f>
        <v>0.245283018867925</v>
      </c>
      <c r="Y6" s="10" t="n">
        <f aca="false">T6/$W6</f>
        <v>0.29433962264151</v>
      </c>
      <c r="Z6" s="10" t="n">
        <f aca="false">U6/$W6</f>
        <v>0.120754716981132</v>
      </c>
      <c r="AA6" s="10" t="n">
        <f aca="false">V6/$W6</f>
        <v>0.339622641509434</v>
      </c>
      <c r="AB6" s="10" t="n">
        <f aca="false">SUM(X6:AA6)</f>
        <v>1</v>
      </c>
      <c r="AC6" s="7" t="n">
        <f aca="false" t="array" ref="AC6:AC6">MMULT(MMULT(X6:AA6,$N$2:$Q$5),TRANSPOSE(X6:AA6))</f>
        <v>0.000232553128551587</v>
      </c>
      <c r="AD6" s="7" t="n">
        <f aca="false">SUMPRODUCT(X6:AA6,$E$237:$H$237)</f>
        <v>-0.000304604582971664</v>
      </c>
      <c r="AE6" s="11" t="n">
        <f aca="false">(AD6-$I$2)/SQRT(AC6)</f>
        <v>-0.0470658778903441</v>
      </c>
      <c r="AF6" s="7" t="n">
        <f aca="false">AD6</f>
        <v>-0.000304604582971664</v>
      </c>
      <c r="AG6" s="7" t="n">
        <f aca="false">AC6</f>
        <v>0.000232553128551587</v>
      </c>
      <c r="AH6" s="10" t="n">
        <f aca="false">X6</f>
        <v>0.245283018867925</v>
      </c>
      <c r="AI6" s="10" t="n">
        <f aca="false">Y6</f>
        <v>0.29433962264151</v>
      </c>
      <c r="AJ6" s="10" t="n">
        <f aca="false">Z6</f>
        <v>0.120754716981132</v>
      </c>
      <c r="AK6" s="10" t="n">
        <f aca="false">AA6</f>
        <v>0.339622641509434</v>
      </c>
      <c r="AM6" s="3" t="s">
        <v>31</v>
      </c>
      <c r="AN6" s="15" t="n">
        <f aca="false">VLOOKUP(AN2,AE2:AI235,5,FALSE())</f>
        <v>0.0819672131147541</v>
      </c>
    </row>
    <row r="7" customFormat="false" ht="15" hidden="false" customHeight="true" outlineLevel="0" collapsed="false">
      <c r="A7" s="5" t="n">
        <f aca="false">aci!H8</f>
        <v>179.9</v>
      </c>
      <c r="B7" s="5" t="n">
        <f aca="false">apexfoot!H8</f>
        <v>203.5</v>
      </c>
      <c r="C7" s="5" t="n">
        <f aca="false">bxpharma!H8</f>
        <v>101.9</v>
      </c>
      <c r="D7" s="5" t="n">
        <f aca="false">batbc!H8</f>
        <v>324</v>
      </c>
      <c r="E7" s="7" t="n">
        <f aca="false">LN(A6/A7)</f>
        <v>0.00720025265239151</v>
      </c>
      <c r="F7" s="7" t="n">
        <f aca="false">LN(B6/B7)</f>
        <v>0.0122101639069313</v>
      </c>
      <c r="G7" s="7" t="n">
        <f aca="false">LN(C6/C7)</f>
        <v>-0.00294840508429777</v>
      </c>
      <c r="H7" s="7" t="n">
        <f aca="false">LN(D6/D7)</f>
        <v>-0.000308689615045794</v>
      </c>
      <c r="I7" s="7" t="n">
        <f aca="false">E7-$I$2</f>
        <v>0.00678711705917117</v>
      </c>
      <c r="J7" s="7" t="n">
        <f aca="false">F7-$J$2</f>
        <v>0.011797028313711</v>
      </c>
      <c r="K7" s="7" t="n">
        <f aca="false">G7-$K$2</f>
        <v>-0.00336154067751811</v>
      </c>
      <c r="L7" s="7" t="n">
        <f aca="false">H7-$L$2</f>
        <v>-0.000721825208266133</v>
      </c>
      <c r="S7" s="9" t="n">
        <v>0.54</v>
      </c>
      <c r="T7" s="9" t="n">
        <v>0.13</v>
      </c>
      <c r="U7" s="9" t="n">
        <v>0.91</v>
      </c>
      <c r="V7" s="9" t="n">
        <v>0.38</v>
      </c>
      <c r="W7" s="5" t="n">
        <f aca="false">SUM(S7:V7)</f>
        <v>1.96</v>
      </c>
      <c r="X7" s="10" t="n">
        <f aca="false">S7/$W7</f>
        <v>0.275510204081633</v>
      </c>
      <c r="Y7" s="10" t="n">
        <f aca="false">T7/$W7</f>
        <v>0.0663265306122449</v>
      </c>
      <c r="Z7" s="10" t="n">
        <f aca="false">U7/$W7</f>
        <v>0.464285714285714</v>
      </c>
      <c r="AA7" s="10" t="n">
        <f aca="false">V7/$W7</f>
        <v>0.193877551020408</v>
      </c>
      <c r="AB7" s="10" t="n">
        <f aca="false">SUM(X7:AA7)</f>
        <v>1</v>
      </c>
      <c r="AC7" s="7" t="n">
        <f aca="false" t="array" ref="AC7:AC7">MMULT(MMULT(X7:AA7,$N$2:$Q$5),TRANSPOSE(X7:AA7))</f>
        <v>0.000291174466226614</v>
      </c>
      <c r="AD7" s="7" t="n">
        <f aca="false">SUMPRODUCT(X7:AA7,$E$237:$H$237)</f>
        <v>-0.000118882361030067</v>
      </c>
      <c r="AE7" s="11" t="n">
        <f aca="false">(AD7-$I$2)/SQRT(AC7)</f>
        <v>-0.0311780999432454</v>
      </c>
      <c r="AF7" s="7" t="n">
        <f aca="false">AD7</f>
        <v>-0.000118882361030067</v>
      </c>
      <c r="AG7" s="7" t="n">
        <f aca="false">AC7</f>
        <v>0.000291174466226614</v>
      </c>
      <c r="AH7" s="10" t="n">
        <f aca="false">X7</f>
        <v>0.275510204081633</v>
      </c>
      <c r="AI7" s="10" t="n">
        <f aca="false">Y7</f>
        <v>0.0663265306122449</v>
      </c>
      <c r="AJ7" s="10" t="n">
        <f aca="false">Z7</f>
        <v>0.464285714285714</v>
      </c>
      <c r="AK7" s="10" t="n">
        <f aca="false">AA7</f>
        <v>0.193877551020408</v>
      </c>
      <c r="AM7" s="3" t="s">
        <v>32</v>
      </c>
      <c r="AN7" s="15" t="n">
        <f aca="false">VLOOKUP(AN2,AE2:AJ235,6,FALSE())</f>
        <v>0.114754098360656</v>
      </c>
    </row>
    <row r="8" customFormat="false" ht="15" hidden="false" customHeight="true" outlineLevel="0" collapsed="false">
      <c r="A8" s="5" t="n">
        <f aca="false">aci!H9</f>
        <v>178.3</v>
      </c>
      <c r="B8" s="5" t="n">
        <f aca="false">apexfoot!H9</f>
        <v>204.4</v>
      </c>
      <c r="C8" s="5" t="n">
        <f aca="false">bxpharma!H9</f>
        <v>94.9</v>
      </c>
      <c r="D8" s="5" t="n">
        <f aca="false">batbc!H9</f>
        <v>324.2</v>
      </c>
      <c r="E8" s="7" t="n">
        <f aca="false">LN(A7/A8)</f>
        <v>0.00893361608739261</v>
      </c>
      <c r="F8" s="7" t="n">
        <f aca="false">LN(B7/B8)</f>
        <v>-0.00441285344689968</v>
      </c>
      <c r="G8" s="7" t="n">
        <f aca="false">LN(C7/C8)</f>
        <v>0.0711682346127969</v>
      </c>
      <c r="H8" s="7" t="n">
        <f aca="false">LN(D7/D8)</f>
        <v>-0.000617093509246292</v>
      </c>
      <c r="I8" s="7" t="n">
        <f aca="false">E8-$I$2</f>
        <v>0.00852048049417228</v>
      </c>
      <c r="J8" s="7" t="n">
        <f aca="false">F8-$J$2</f>
        <v>-0.00482598904012001</v>
      </c>
      <c r="K8" s="7" t="n">
        <f aca="false">G8-$K$2</f>
        <v>0.0707550990195766</v>
      </c>
      <c r="L8" s="7" t="n">
        <f aca="false">H8-$L$2</f>
        <v>-0.00103022910246663</v>
      </c>
      <c r="S8" s="9" t="n">
        <v>0.67</v>
      </c>
      <c r="T8" s="9" t="n">
        <v>0.3</v>
      </c>
      <c r="U8" s="9" t="n">
        <v>0.14</v>
      </c>
      <c r="V8" s="9" t="n">
        <v>0.3</v>
      </c>
      <c r="W8" s="5" t="n">
        <f aca="false">SUM(S8:V8)</f>
        <v>1.41</v>
      </c>
      <c r="X8" s="10" t="n">
        <f aca="false">S8/$W8</f>
        <v>0.475177304964539</v>
      </c>
      <c r="Y8" s="10" t="n">
        <f aca="false">T8/$W8</f>
        <v>0.212765957446808</v>
      </c>
      <c r="Z8" s="10" t="n">
        <f aca="false">U8/$W8</f>
        <v>0.099290780141844</v>
      </c>
      <c r="AA8" s="10" t="n">
        <f aca="false">V8/$W8</f>
        <v>0.212765957446808</v>
      </c>
      <c r="AB8" s="10" t="n">
        <f aca="false">SUM(X8:AA8)</f>
        <v>1</v>
      </c>
      <c r="AC8" s="7" t="n">
        <f aca="false" t="array" ref="AC8:AC8">MMULT(MMULT(X8:AA8,$N$2:$Q$5),TRANSPOSE(X8:AA8))</f>
        <v>0.000318769927929061</v>
      </c>
      <c r="AD8" s="7" t="n">
        <f aca="false">SUMPRODUCT(X8:AA8,$E$237:$H$237)</f>
        <v>0.000134624749957856</v>
      </c>
      <c r="AE8" s="11" t="n">
        <f aca="false">(AD8-$I$2)/SQRT(AC8)</f>
        <v>-0.0155992398634883</v>
      </c>
      <c r="AF8" s="7" t="n">
        <f aca="false">AD8</f>
        <v>0.000134624749957856</v>
      </c>
      <c r="AG8" s="7" t="n">
        <f aca="false">AC8</f>
        <v>0.000318769927929061</v>
      </c>
      <c r="AH8" s="10" t="n">
        <f aca="false">X8</f>
        <v>0.475177304964539</v>
      </c>
      <c r="AI8" s="10" t="n">
        <f aca="false">Y8</f>
        <v>0.212765957446808</v>
      </c>
      <c r="AJ8" s="10" t="n">
        <f aca="false">Z8</f>
        <v>0.099290780141844</v>
      </c>
      <c r="AK8" s="10" t="n">
        <f aca="false">AA8</f>
        <v>0.212765957446808</v>
      </c>
      <c r="AM8" s="3" t="s">
        <v>33</v>
      </c>
      <c r="AN8" s="15" t="n">
        <f aca="false">VLOOKUP(AN2,AE2:AK235,7,FALSE())</f>
        <v>0.0983606557377049</v>
      </c>
    </row>
    <row r="9" customFormat="false" ht="15" hidden="false" customHeight="true" outlineLevel="0" collapsed="false">
      <c r="A9" s="5" t="n">
        <f aca="false">aci!H10</f>
        <v>173.8</v>
      </c>
      <c r="B9" s="5" t="n">
        <f aca="false">apexfoot!H10</f>
        <v>204.4</v>
      </c>
      <c r="C9" s="5" t="n">
        <f aca="false">bxpharma!H10</f>
        <v>87.2</v>
      </c>
      <c r="D9" s="5" t="n">
        <f aca="false">batbc!H10</f>
        <v>324.2</v>
      </c>
      <c r="E9" s="7" t="n">
        <f aca="false">LN(A8/A9)</f>
        <v>0.0255623120378031</v>
      </c>
      <c r="F9" s="7" t="n">
        <f aca="false">LN(B8/B9)</f>
        <v>0</v>
      </c>
      <c r="G9" s="7" t="n">
        <f aca="false">LN(C8/C9)</f>
        <v>0.0846193747009482</v>
      </c>
      <c r="H9" s="7" t="n">
        <f aca="false">LN(D8/D9)</f>
        <v>0</v>
      </c>
      <c r="I9" s="7" t="n">
        <f aca="false">E9-$I$2</f>
        <v>0.0251491764445827</v>
      </c>
      <c r="J9" s="7" t="n">
        <f aca="false">F9-$J$2</f>
        <v>-0.000413135593220339</v>
      </c>
      <c r="K9" s="7" t="n">
        <f aca="false">G9-$K$2</f>
        <v>0.0842062391077279</v>
      </c>
      <c r="L9" s="7" t="n">
        <f aca="false">H9-$L$2</f>
        <v>-0.000413135593220339</v>
      </c>
      <c r="S9" s="9" t="n">
        <v>0.24</v>
      </c>
      <c r="T9" s="9" t="n">
        <v>0.11</v>
      </c>
      <c r="U9" s="9" t="n">
        <v>0.29</v>
      </c>
      <c r="V9" s="9" t="n">
        <v>0.37</v>
      </c>
      <c r="W9" s="5" t="n">
        <f aca="false">SUM(S9:V9)</f>
        <v>1.01</v>
      </c>
      <c r="X9" s="10" t="n">
        <f aca="false">S9/$W9</f>
        <v>0.237623762376238</v>
      </c>
      <c r="Y9" s="10" t="n">
        <f aca="false">T9/$W9</f>
        <v>0.108910891089109</v>
      </c>
      <c r="Z9" s="10" t="n">
        <f aca="false">U9/$W9</f>
        <v>0.287128712871287</v>
      </c>
      <c r="AA9" s="10" t="n">
        <f aca="false">V9/$W9</f>
        <v>0.366336633663366</v>
      </c>
      <c r="AB9" s="10" t="n">
        <f aca="false">SUM(X9:AA9)</f>
        <v>1</v>
      </c>
      <c r="AC9" s="7" t="n">
        <f aca="false" t="array" ref="AC9:AC9">MMULT(MMULT(X9:AA9,$N$2:$Q$5),TRANSPOSE(X9:AA9))</f>
        <v>0.000245029376456534</v>
      </c>
      <c r="AD9" s="7" t="n">
        <f aca="false">SUMPRODUCT(X9:AA9,$E$237:$H$237)</f>
        <v>-0.000287097994891099</v>
      </c>
      <c r="AE9" s="11" t="n">
        <f aca="false">(AD9-$I$2)/SQRT(AC9)</f>
        <v>-0.0447336011606941</v>
      </c>
      <c r="AF9" s="7" t="n">
        <f aca="false">AD9</f>
        <v>-0.000287097994891099</v>
      </c>
      <c r="AG9" s="7" t="n">
        <f aca="false">AC9</f>
        <v>0.000245029376456534</v>
      </c>
      <c r="AH9" s="10" t="n">
        <f aca="false">X9</f>
        <v>0.237623762376238</v>
      </c>
      <c r="AI9" s="10" t="n">
        <f aca="false">Y9</f>
        <v>0.108910891089109</v>
      </c>
      <c r="AJ9" s="10" t="n">
        <f aca="false">Z9</f>
        <v>0.287128712871287</v>
      </c>
      <c r="AK9" s="10" t="n">
        <f aca="false">AA9</f>
        <v>0.366336633663366</v>
      </c>
      <c r="AM9" s="3" t="s">
        <v>34</v>
      </c>
      <c r="AN9" s="18" t="n">
        <f aca="false">O6/235</f>
        <v>0.000414893617021277</v>
      </c>
    </row>
    <row r="10" customFormat="false" ht="15" hidden="false" customHeight="true" outlineLevel="0" collapsed="false">
      <c r="A10" s="5" t="n">
        <f aca="false">aci!H11</f>
        <v>170.7</v>
      </c>
      <c r="B10" s="5" t="n">
        <f aca="false">apexfoot!H11</f>
        <v>204.8</v>
      </c>
      <c r="C10" s="5" t="n">
        <f aca="false">bxpharma!H11</f>
        <v>83</v>
      </c>
      <c r="D10" s="5" t="n">
        <f aca="false">batbc!H11</f>
        <v>324.7</v>
      </c>
      <c r="E10" s="7" t="n">
        <f aca="false">LN(A9/A10)</f>
        <v>0.0179975830308969</v>
      </c>
      <c r="F10" s="7" t="n">
        <f aca="false">LN(B9/B10)</f>
        <v>-0.00195503483580335</v>
      </c>
      <c r="G10" s="7" t="n">
        <f aca="false">LN(C9/C10)</f>
        <v>0.049363723118336</v>
      </c>
      <c r="H10" s="7" t="n">
        <f aca="false">LN(D9/D10)</f>
        <v>-0.00154106980722458</v>
      </c>
      <c r="I10" s="7" t="n">
        <f aca="false">E10-$I$2</f>
        <v>0.0175844474376766</v>
      </c>
      <c r="J10" s="7" t="n">
        <f aca="false">F10-$J$2</f>
        <v>-0.00236817042902369</v>
      </c>
      <c r="K10" s="7" t="n">
        <f aca="false">G10-$K$2</f>
        <v>0.0489505875251157</v>
      </c>
      <c r="L10" s="7" t="n">
        <f aca="false">H10-$L$2</f>
        <v>-0.00195420540044492</v>
      </c>
      <c r="S10" s="9" t="n">
        <v>0.12</v>
      </c>
      <c r="T10" s="9" t="n">
        <v>0.7</v>
      </c>
      <c r="U10" s="9" t="n">
        <v>0.9</v>
      </c>
      <c r="V10" s="9" t="n">
        <v>0.23</v>
      </c>
      <c r="W10" s="5" t="n">
        <f aca="false">SUM(S10:V10)</f>
        <v>1.95</v>
      </c>
      <c r="X10" s="10" t="n">
        <f aca="false">S10/$W10</f>
        <v>0.0615384615384615</v>
      </c>
      <c r="Y10" s="10" t="n">
        <f aca="false">T10/$W10</f>
        <v>0.358974358974359</v>
      </c>
      <c r="Z10" s="10" t="n">
        <f aca="false">U10/$W10</f>
        <v>0.461538461538462</v>
      </c>
      <c r="AA10" s="10" t="n">
        <f aca="false">V10/$W10</f>
        <v>0.117948717948718</v>
      </c>
      <c r="AB10" s="10" t="n">
        <f aca="false">SUM(X10:AA10)</f>
        <v>1</v>
      </c>
      <c r="AC10" s="7" t="n">
        <f aca="false" t="array" ref="AC10:AC10">MMULT(MMULT(X10:AA10,$N$2:$Q$5),TRANSPOSE(X10:AA10))</f>
        <v>0.000232662555543797</v>
      </c>
      <c r="AD10" s="7" t="n">
        <f aca="false">SUMPRODUCT(X10:AA10,$E$237:$H$237)</f>
        <v>-0.000466206258871917</v>
      </c>
      <c r="AE10" s="11" t="n">
        <f aca="false">(AD10-$I$2)/SQRT(AC10)</f>
        <v>-0.0576493608619993</v>
      </c>
      <c r="AF10" s="7" t="n">
        <f aca="false">AD10</f>
        <v>-0.000466206258871917</v>
      </c>
      <c r="AG10" s="7" t="n">
        <f aca="false">AC10</f>
        <v>0.000232662555543797</v>
      </c>
      <c r="AH10" s="10" t="n">
        <f aca="false">X10</f>
        <v>0.0615384615384615</v>
      </c>
      <c r="AI10" s="10" t="n">
        <f aca="false">Y10</f>
        <v>0.358974358974359</v>
      </c>
      <c r="AJ10" s="10" t="n">
        <f aca="false">Z10</f>
        <v>0.461538461538462</v>
      </c>
      <c r="AK10" s="10" t="n">
        <f aca="false">AA10</f>
        <v>0.117948717948718</v>
      </c>
    </row>
    <row r="11" customFormat="false" ht="15" hidden="false" customHeight="true" outlineLevel="0" collapsed="false">
      <c r="A11" s="5" t="n">
        <f aca="false">aci!H12</f>
        <v>168.3</v>
      </c>
      <c r="B11" s="5" t="n">
        <f aca="false">apexfoot!H12</f>
        <v>204.6</v>
      </c>
      <c r="C11" s="5" t="n">
        <f aca="false">bxpharma!H12</f>
        <v>80.9</v>
      </c>
      <c r="D11" s="5" t="n">
        <f aca="false">batbc!H12</f>
        <v>324</v>
      </c>
      <c r="E11" s="7" t="n">
        <f aca="false">LN(A10/A11)</f>
        <v>0.0141595286036345</v>
      </c>
      <c r="F11" s="7" t="n">
        <f aca="false">LN(B10/B11)</f>
        <v>0.000977039647826612</v>
      </c>
      <c r="G11" s="7" t="n">
        <f aca="false">LN(C10/C11)</f>
        <v>0.0256267837321518</v>
      </c>
      <c r="H11" s="7" t="n">
        <f aca="false">LN(D10/D11)</f>
        <v>0.00215816331647083</v>
      </c>
      <c r="I11" s="7" t="n">
        <f aca="false">E11-$I$2</f>
        <v>0.0137463930104142</v>
      </c>
      <c r="J11" s="7" t="n">
        <f aca="false">F11-$J$2</f>
        <v>0.000563904054606273</v>
      </c>
      <c r="K11" s="7" t="n">
        <f aca="false">G11-$K$2</f>
        <v>0.0252136481389315</v>
      </c>
      <c r="L11" s="7" t="n">
        <f aca="false">H11-$L$2</f>
        <v>0.00174502772325049</v>
      </c>
      <c r="S11" s="9" t="n">
        <v>0.44</v>
      </c>
      <c r="T11" s="9" t="n">
        <v>0.78</v>
      </c>
      <c r="U11" s="9" t="n">
        <v>0.05</v>
      </c>
      <c r="V11" s="9" t="n">
        <v>0.7</v>
      </c>
      <c r="W11" s="5" t="n">
        <f aca="false">SUM(S11:V11)</f>
        <v>1.97</v>
      </c>
      <c r="X11" s="10" t="n">
        <f aca="false">S11/$W11</f>
        <v>0.223350253807107</v>
      </c>
      <c r="Y11" s="10" t="n">
        <f aca="false">T11/$W11</f>
        <v>0.395939086294416</v>
      </c>
      <c r="Z11" s="10" t="n">
        <f aca="false">U11/$W11</f>
        <v>0.0253807106598985</v>
      </c>
      <c r="AA11" s="10" t="n">
        <f aca="false">V11/$W11</f>
        <v>0.355329949238579</v>
      </c>
      <c r="AB11" s="10" t="n">
        <f aca="false">SUM(X11:AA11)</f>
        <v>1</v>
      </c>
      <c r="AC11" s="7" t="n">
        <f aca="false" t="array" ref="AC11:AC11">MMULT(MMULT(X11:AA11,$N$2:$Q$5),TRANSPOSE(X11:AA11))</f>
        <v>0.000240016770757137</v>
      </c>
      <c r="AD11" s="7" t="n">
        <f aca="false">SUMPRODUCT(X11:AA11,$E$237:$H$237)</f>
        <v>-0.000371218428111681</v>
      </c>
      <c r="AE11" s="11" t="n">
        <f aca="false">(AD11-$I$2)/SQRT(AC11)</f>
        <v>-0.0506280655021653</v>
      </c>
      <c r="AF11" s="7" t="n">
        <f aca="false">AD11</f>
        <v>-0.000371218428111681</v>
      </c>
      <c r="AG11" s="7" t="n">
        <f aca="false">AC11</f>
        <v>0.000240016770757137</v>
      </c>
      <c r="AH11" s="10" t="n">
        <f aca="false">X11</f>
        <v>0.223350253807107</v>
      </c>
      <c r="AI11" s="10" t="n">
        <f aca="false">Y11</f>
        <v>0.395939086294416</v>
      </c>
      <c r="AJ11" s="10" t="n">
        <f aca="false">Z11</f>
        <v>0.0253807106598985</v>
      </c>
      <c r="AK11" s="10" t="n">
        <f aca="false">AA11</f>
        <v>0.355329949238579</v>
      </c>
      <c r="AM11" s="19" t="s">
        <v>35</v>
      </c>
    </row>
    <row r="12" customFormat="false" ht="15" hidden="false" customHeight="true" outlineLevel="0" collapsed="false">
      <c r="A12" s="5" t="n">
        <f aca="false">aci!H13</f>
        <v>166.7</v>
      </c>
      <c r="B12" s="5" t="n">
        <f aca="false">apexfoot!H13</f>
        <v>205</v>
      </c>
      <c r="C12" s="5" t="n">
        <f aca="false">bxpharma!H13</f>
        <v>82.4</v>
      </c>
      <c r="D12" s="5" t="n">
        <f aca="false">batbc!H13</f>
        <v>324</v>
      </c>
      <c r="E12" s="7" t="n">
        <f aca="false">LN(A11/A12)</f>
        <v>0.00955231144001208</v>
      </c>
      <c r="F12" s="7" t="n">
        <f aca="false">LN(B11/B12)</f>
        <v>-0.00195312562088207</v>
      </c>
      <c r="G12" s="7" t="n">
        <f aca="false">LN(C11/C12)</f>
        <v>-0.0183716128509801</v>
      </c>
      <c r="H12" s="7" t="n">
        <f aca="false">LN(D11/D12)</f>
        <v>0</v>
      </c>
      <c r="I12" s="7" t="n">
        <f aca="false">E12-$I$2</f>
        <v>0.00913917584679174</v>
      </c>
      <c r="J12" s="7" t="n">
        <f aca="false">F12-$J$2</f>
        <v>-0.00236626121410241</v>
      </c>
      <c r="K12" s="7" t="n">
        <f aca="false">G12-$K$2</f>
        <v>-0.0187847484442004</v>
      </c>
      <c r="L12" s="7" t="n">
        <f aca="false">H12-$L$2</f>
        <v>-0.000413135593220339</v>
      </c>
      <c r="S12" s="9" t="n">
        <v>0.26</v>
      </c>
      <c r="T12" s="9" t="n">
        <v>0.73</v>
      </c>
      <c r="U12" s="9" t="n">
        <v>0.08</v>
      </c>
      <c r="V12" s="9" t="n">
        <v>0.38</v>
      </c>
      <c r="W12" s="5" t="n">
        <f aca="false">SUM(S12:V12)</f>
        <v>1.45</v>
      </c>
      <c r="X12" s="10" t="n">
        <f aca="false">S12/$W12</f>
        <v>0.179310344827586</v>
      </c>
      <c r="Y12" s="10" t="n">
        <f aca="false">T12/$W12</f>
        <v>0.503448275862069</v>
      </c>
      <c r="Z12" s="10" t="n">
        <f aca="false">U12/$W12</f>
        <v>0.0551724137931034</v>
      </c>
      <c r="AA12" s="10" t="n">
        <f aca="false">V12/$W12</f>
        <v>0.262068965517241</v>
      </c>
      <c r="AB12" s="10" t="n">
        <f aca="false">SUM(X12:AA12)</f>
        <v>1</v>
      </c>
      <c r="AC12" s="7" t="n">
        <f aca="false" t="array" ref="AC12:AC12">MMULT(MMULT(X12:AA12,$N$2:$Q$5),TRANSPOSE(X12:AA12))</f>
        <v>0.000225501176961877</v>
      </c>
      <c r="AD12" s="7" t="n">
        <f aca="false">SUMPRODUCT(X12:AA12,$E$237:$H$237)</f>
        <v>-0.000408598323202157</v>
      </c>
      <c r="AE12" s="11" t="n">
        <f aca="false">(AD12-$I$2)/SQRT(AC12)</f>
        <v>-0.0547213503724013</v>
      </c>
      <c r="AF12" s="7" t="n">
        <f aca="false">AD12</f>
        <v>-0.000408598323202157</v>
      </c>
      <c r="AG12" s="7" t="n">
        <f aca="false">AC12</f>
        <v>0.000225501176961877</v>
      </c>
      <c r="AH12" s="10" t="n">
        <f aca="false">X12</f>
        <v>0.179310344827586</v>
      </c>
      <c r="AI12" s="10" t="n">
        <f aca="false">Y12</f>
        <v>0.503448275862069</v>
      </c>
      <c r="AJ12" s="10" t="n">
        <f aca="false">Z12</f>
        <v>0.0551724137931034</v>
      </c>
      <c r="AK12" s="10" t="n">
        <f aca="false">AA12</f>
        <v>0.262068965517241</v>
      </c>
      <c r="AN12" s="19" t="s">
        <v>0</v>
      </c>
      <c r="AO12" s="19" t="s">
        <v>1</v>
      </c>
      <c r="AP12" s="19" t="s">
        <v>2</v>
      </c>
      <c r="AQ12" s="19" t="s">
        <v>3</v>
      </c>
    </row>
    <row r="13" customFormat="false" ht="15" hidden="false" customHeight="true" outlineLevel="0" collapsed="false">
      <c r="A13" s="5" t="n">
        <f aca="false">aci!H14</f>
        <v>168.2</v>
      </c>
      <c r="B13" s="5" t="n">
        <f aca="false">apexfoot!H14</f>
        <v>205</v>
      </c>
      <c r="C13" s="5" t="n">
        <f aca="false">bxpharma!H14</f>
        <v>81.2</v>
      </c>
      <c r="D13" s="5" t="n">
        <f aca="false">batbc!H14</f>
        <v>326</v>
      </c>
      <c r="E13" s="7" t="n">
        <f aca="false">LN(A12/A13)</f>
        <v>-0.00895795778209933</v>
      </c>
      <c r="F13" s="7" t="n">
        <f aca="false">LN(B12/B13)</f>
        <v>0</v>
      </c>
      <c r="G13" s="7" t="n">
        <f aca="false">LN(C12/C13)</f>
        <v>0.0146701897477938</v>
      </c>
      <c r="H13" s="7" t="n">
        <f aca="false">LN(D12/D13)</f>
        <v>-0.00615386557437822</v>
      </c>
      <c r="I13" s="7" t="n">
        <f aca="false">E13-$I$2</f>
        <v>-0.00937109337531967</v>
      </c>
      <c r="J13" s="7" t="n">
        <f aca="false">F13-$J$2</f>
        <v>-0.000413135593220339</v>
      </c>
      <c r="K13" s="7" t="n">
        <f aca="false">G13-$K$2</f>
        <v>0.0142570541545735</v>
      </c>
      <c r="L13" s="7" t="n">
        <f aca="false">H13-$L$2</f>
        <v>-0.00656700116759856</v>
      </c>
      <c r="S13" s="9" t="n">
        <v>0.08</v>
      </c>
      <c r="T13" s="9" t="n">
        <v>0.93</v>
      </c>
      <c r="U13" s="9" t="n">
        <v>0.59</v>
      </c>
      <c r="V13" s="9" t="n">
        <v>0.73</v>
      </c>
      <c r="W13" s="5" t="n">
        <f aca="false">SUM(S13:V13)</f>
        <v>2.33</v>
      </c>
      <c r="X13" s="10" t="n">
        <f aca="false">S13/$W13</f>
        <v>0.0343347639484979</v>
      </c>
      <c r="Y13" s="10" t="n">
        <f aca="false">T13/$W13</f>
        <v>0.399141630901288</v>
      </c>
      <c r="Z13" s="10" t="n">
        <f aca="false">U13/$W13</f>
        <v>0.253218884120172</v>
      </c>
      <c r="AA13" s="10" t="n">
        <f aca="false">V13/$W13</f>
        <v>0.313304721030043</v>
      </c>
      <c r="AB13" s="10" t="n">
        <f aca="false">SUM(X13:AA13)</f>
        <v>1</v>
      </c>
      <c r="AC13" s="7" t="n">
        <f aca="false" t="array" ref="AC13:AC13">MMULT(MMULT(X13:AA13,$N$2:$Q$5),TRANSPOSE(X13:AA13))</f>
        <v>0.000194792208593416</v>
      </c>
      <c r="AD13" s="7" t="n">
        <f aca="false">SUMPRODUCT(X13:AA13,$E$237:$H$237)</f>
        <v>-0.00063121482999995</v>
      </c>
      <c r="AE13" s="11" t="n">
        <f aca="false">(AD13-$I$2)/SQRT(AC13)</f>
        <v>-0.07482736571078</v>
      </c>
      <c r="AF13" s="7" t="n">
        <f aca="false">AD13</f>
        <v>-0.00063121482999995</v>
      </c>
      <c r="AG13" s="7" t="n">
        <f aca="false">AC13</f>
        <v>0.000194792208593416</v>
      </c>
      <c r="AH13" s="10" t="n">
        <f aca="false">X13</f>
        <v>0.0343347639484979</v>
      </c>
      <c r="AI13" s="10" t="n">
        <f aca="false">Y13</f>
        <v>0.399141630901288</v>
      </c>
      <c r="AJ13" s="10" t="n">
        <f aca="false">Z13</f>
        <v>0.253218884120172</v>
      </c>
      <c r="AK13" s="10" t="n">
        <f aca="false">AA13</f>
        <v>0.313304721030043</v>
      </c>
      <c r="AM13" s="19" t="s">
        <v>0</v>
      </c>
      <c r="AN13" s="7" t="n">
        <f aca="false">N2</f>
        <v>0.000739253557085058</v>
      </c>
      <c r="AO13" s="7" t="n">
        <f aca="false">O2</f>
        <v>0.000136522185590418</v>
      </c>
      <c r="AP13" s="7" t="n">
        <f aca="false">P2</f>
        <v>0.000179292976292013</v>
      </c>
      <c r="AQ13" s="7" t="n">
        <f aca="false">Q2</f>
        <v>0.00026324613766702</v>
      </c>
    </row>
    <row r="14" customFormat="false" ht="15" hidden="false" customHeight="true" outlineLevel="0" collapsed="false">
      <c r="A14" s="5" t="n">
        <f aca="false">aci!H15</f>
        <v>167</v>
      </c>
      <c r="B14" s="5" t="n">
        <f aca="false">apexfoot!H15</f>
        <v>206.6</v>
      </c>
      <c r="C14" s="5" t="n">
        <f aca="false">bxpharma!H15</f>
        <v>81.1</v>
      </c>
      <c r="D14" s="5" t="n">
        <f aca="false">batbc!H15</f>
        <v>328.2</v>
      </c>
      <c r="E14" s="7" t="n">
        <f aca="false">LN(A13/A14)</f>
        <v>0.00715993512209254</v>
      </c>
      <c r="F14" s="7" t="n">
        <f aca="false">LN(B13/B14)</f>
        <v>-0.00777457754712993</v>
      </c>
      <c r="G14" s="7" t="n">
        <f aca="false">LN(C13/C14)</f>
        <v>0.0012322860462651</v>
      </c>
      <c r="H14" s="7" t="n">
        <f aca="false">LN(D13/D14)</f>
        <v>-0.00672579728928289</v>
      </c>
      <c r="I14" s="7" t="n">
        <f aca="false">E14-$I$2</f>
        <v>0.0067467995288722</v>
      </c>
      <c r="J14" s="7" t="n">
        <f aca="false">F14-$J$2</f>
        <v>-0.00818771314035027</v>
      </c>
      <c r="K14" s="7" t="n">
        <f aca="false">G14-$K$2</f>
        <v>0.000819150453044763</v>
      </c>
      <c r="L14" s="7" t="n">
        <f aca="false">H14-$L$2</f>
        <v>-0.00713893288250323</v>
      </c>
      <c r="S14" s="9" t="n">
        <v>0.06</v>
      </c>
      <c r="T14" s="9" t="n">
        <v>0.09</v>
      </c>
      <c r="U14" s="9" t="n">
        <v>0.69</v>
      </c>
      <c r="V14" s="9" t="n">
        <v>0.96</v>
      </c>
      <c r="W14" s="5" t="n">
        <f aca="false">SUM(S14:V14)</f>
        <v>1.8</v>
      </c>
      <c r="X14" s="10" t="n">
        <f aca="false">S14/$W14</f>
        <v>0.0333333333333333</v>
      </c>
      <c r="Y14" s="10" t="n">
        <f aca="false">T14/$W14</f>
        <v>0.05</v>
      </c>
      <c r="Z14" s="10" t="n">
        <f aca="false">U14/$W14</f>
        <v>0.383333333333333</v>
      </c>
      <c r="AA14" s="10" t="n">
        <f aca="false">V14/$W14</f>
        <v>0.533333333333333</v>
      </c>
      <c r="AB14" s="10" t="n">
        <f aca="false">SUM(X14:AA14)</f>
        <v>1</v>
      </c>
      <c r="AC14" s="7" t="n">
        <f aca="false" t="array" ref="AC14:AC14">MMULT(MMULT(X14:AA14,$N$2:$Q$5),TRANSPOSE(X14:AA14))</f>
        <v>0.000233112423730713</v>
      </c>
      <c r="AD14" s="7" t="n">
        <f aca="false">SUMPRODUCT(X14:AA14,$E$237:$H$237)</f>
        <v>-0.000677561491186596</v>
      </c>
      <c r="AE14" s="11" t="n">
        <f aca="false">(AD14-$I$2)/SQRT(AC14)</f>
        <v>-0.0714367095482231</v>
      </c>
      <c r="AF14" s="7" t="n">
        <f aca="false">AD14</f>
        <v>-0.000677561491186596</v>
      </c>
      <c r="AG14" s="7" t="n">
        <f aca="false">AC14</f>
        <v>0.000233112423730713</v>
      </c>
      <c r="AH14" s="10" t="n">
        <f aca="false">X14</f>
        <v>0.0333333333333333</v>
      </c>
      <c r="AI14" s="10" t="n">
        <f aca="false">Y14</f>
        <v>0.05</v>
      </c>
      <c r="AJ14" s="10" t="n">
        <f aca="false">Z14</f>
        <v>0.383333333333333</v>
      </c>
      <c r="AK14" s="10" t="n">
        <f aca="false">AA14</f>
        <v>0.533333333333333</v>
      </c>
      <c r="AM14" s="19" t="s">
        <v>1</v>
      </c>
      <c r="AN14" s="7" t="n">
        <f aca="false">N3</f>
        <v>0.000136522185590418</v>
      </c>
      <c r="AO14" s="7" t="n">
        <f aca="false">O3</f>
        <v>0.000316535943022562</v>
      </c>
      <c r="AP14" s="7" t="n">
        <f aca="false">P3</f>
        <v>7.52834546279457E-005</v>
      </c>
      <c r="AQ14" s="7" t="n">
        <f aca="false">Q3</f>
        <v>0.000142656676789829</v>
      </c>
    </row>
    <row r="15" customFormat="false" ht="15" hidden="false" customHeight="true" outlineLevel="0" collapsed="false">
      <c r="A15" s="5" t="n">
        <f aca="false">aci!H16</f>
        <v>167.3</v>
      </c>
      <c r="B15" s="5" t="n">
        <f aca="false">apexfoot!H16</f>
        <v>207.5</v>
      </c>
      <c r="C15" s="5" t="n">
        <f aca="false">bxpharma!H16</f>
        <v>81.3</v>
      </c>
      <c r="D15" s="5" t="n">
        <f aca="false">batbc!H16</f>
        <v>328.1</v>
      </c>
      <c r="E15" s="7" t="n">
        <f aca="false">LN(A14/A15)</f>
        <v>-0.00179479557602321</v>
      </c>
      <c r="F15" s="7" t="n">
        <f aca="false">LN(B14/B15)</f>
        <v>-0.0043467829852148</v>
      </c>
      <c r="G15" s="7" t="n">
        <f aca="false">LN(C14/C15)</f>
        <v>-0.00246305543239775</v>
      </c>
      <c r="H15" s="7" t="n">
        <f aca="false">LN(D14/D15)</f>
        <v>0.000304738688934432</v>
      </c>
      <c r="I15" s="7" t="n">
        <f aca="false">E15-$I$2</f>
        <v>-0.00220793116924355</v>
      </c>
      <c r="J15" s="7" t="n">
        <f aca="false">F15-$J$2</f>
        <v>-0.00475991857843513</v>
      </c>
      <c r="K15" s="7" t="n">
        <f aca="false">G15-$K$2</f>
        <v>-0.00287619102561809</v>
      </c>
      <c r="L15" s="7" t="n">
        <f aca="false">H15-$L$2</f>
        <v>-0.000108396904285907</v>
      </c>
      <c r="S15" s="9" t="n">
        <v>0.34</v>
      </c>
      <c r="T15" s="9" t="n">
        <v>0.88</v>
      </c>
      <c r="U15" s="9" t="n">
        <v>0.57</v>
      </c>
      <c r="V15" s="9" t="n">
        <v>0.1</v>
      </c>
      <c r="W15" s="5" t="n">
        <f aca="false">SUM(S15:V15)</f>
        <v>1.89</v>
      </c>
      <c r="X15" s="10" t="n">
        <f aca="false">S15/$W15</f>
        <v>0.17989417989418</v>
      </c>
      <c r="Y15" s="10" t="n">
        <f aca="false">T15/$W15</f>
        <v>0.465608465608466</v>
      </c>
      <c r="Z15" s="10" t="n">
        <f aca="false">U15/$W15</f>
        <v>0.301587301587302</v>
      </c>
      <c r="AA15" s="10" t="n">
        <f aca="false">V15/$W15</f>
        <v>0.0529100529100529</v>
      </c>
      <c r="AB15" s="10" t="n">
        <f aca="false">SUM(X15:AA15)</f>
        <v>1</v>
      </c>
      <c r="AC15" s="7" t="n">
        <f aca="false" t="array" ref="AC15:AC15">MMULT(MMULT(X15:AA15,$N$2:$Q$5),TRANSPOSE(X15:AA15))</f>
        <v>0.000222340172566085</v>
      </c>
      <c r="AD15" s="7" t="n">
        <f aca="false">SUMPRODUCT(X15:AA15,$E$237:$H$237)</f>
        <v>-0.000276037835378259</v>
      </c>
      <c r="AE15" s="11" t="n">
        <f aca="false">(AD15-$I$2)/SQRT(AC15)</f>
        <v>-0.0462188947135002</v>
      </c>
      <c r="AF15" s="7" t="n">
        <f aca="false">AD15</f>
        <v>-0.000276037835378259</v>
      </c>
      <c r="AG15" s="7" t="n">
        <f aca="false">AC15</f>
        <v>0.000222340172566085</v>
      </c>
      <c r="AH15" s="10" t="n">
        <f aca="false">X15</f>
        <v>0.17989417989418</v>
      </c>
      <c r="AI15" s="10" t="n">
        <f aca="false">Y15</f>
        <v>0.465608465608466</v>
      </c>
      <c r="AJ15" s="10" t="n">
        <f aca="false">Z15</f>
        <v>0.301587301587302</v>
      </c>
      <c r="AK15" s="10" t="n">
        <f aca="false">AA15</f>
        <v>0.0529100529100529</v>
      </c>
      <c r="AM15" s="19" t="s">
        <v>2</v>
      </c>
      <c r="AN15" s="7" t="n">
        <f aca="false">N4</f>
        <v>0.000179292976292013</v>
      </c>
      <c r="AO15" s="7" t="n">
        <f aca="false">O4</f>
        <v>7.52834546279457E-005</v>
      </c>
      <c r="AP15" s="7" t="n">
        <f aca="false">P4</f>
        <v>0.000561802244770866</v>
      </c>
      <c r="AQ15" s="7" t="n">
        <f aca="false">Q4</f>
        <v>7.05226955319571E-005</v>
      </c>
    </row>
    <row r="16" customFormat="false" ht="15" hidden="false" customHeight="true" outlineLevel="0" collapsed="false">
      <c r="A16" s="5" t="n">
        <f aca="false">aci!H17</f>
        <v>163.2</v>
      </c>
      <c r="B16" s="5" t="n">
        <f aca="false">apexfoot!H17</f>
        <v>205.2</v>
      </c>
      <c r="C16" s="5" t="n">
        <f aca="false">bxpharma!H17</f>
        <v>81</v>
      </c>
      <c r="D16" s="5" t="n">
        <f aca="false">batbc!H17</f>
        <v>324.9</v>
      </c>
      <c r="E16" s="7" t="n">
        <f aca="false">LN(A15/A16)</f>
        <v>0.0248121654627719</v>
      </c>
      <c r="F16" s="7" t="n">
        <f aca="false">LN(B15/B16)</f>
        <v>0.0111462263741386</v>
      </c>
      <c r="G16" s="7" t="n">
        <f aca="false">LN(C15/C16)</f>
        <v>0.0036968618813262</v>
      </c>
      <c r="H16" s="7" t="n">
        <f aca="false">LN(D15/D16)</f>
        <v>0.00980099729200146</v>
      </c>
      <c r="I16" s="7" t="n">
        <f aca="false">E16-$I$2</f>
        <v>0.0243990298695516</v>
      </c>
      <c r="J16" s="7" t="n">
        <f aca="false">F16-$J$2</f>
        <v>0.0107330907809183</v>
      </c>
      <c r="K16" s="7" t="n">
        <f aca="false">G16-$K$2</f>
        <v>0.00328372628810586</v>
      </c>
      <c r="L16" s="7" t="n">
        <f aca="false">H16-$L$2</f>
        <v>0.00938786169878112</v>
      </c>
      <c r="S16" s="9" t="n">
        <v>0.75</v>
      </c>
      <c r="T16" s="9" t="n">
        <v>0.07</v>
      </c>
      <c r="U16" s="9" t="n">
        <v>0.15</v>
      </c>
      <c r="V16" s="9" t="n">
        <v>0.62</v>
      </c>
      <c r="W16" s="5" t="n">
        <f aca="false">SUM(S16:V16)</f>
        <v>1.59</v>
      </c>
      <c r="X16" s="10" t="n">
        <f aca="false">S16/$W16</f>
        <v>0.471698113207547</v>
      </c>
      <c r="Y16" s="10" t="n">
        <f aca="false">T16/$W16</f>
        <v>0.0440251572327044</v>
      </c>
      <c r="Z16" s="10" t="n">
        <f aca="false">U16/$W16</f>
        <v>0.0943396226415094</v>
      </c>
      <c r="AA16" s="10" t="n">
        <f aca="false">V16/$W16</f>
        <v>0.389937106918239</v>
      </c>
      <c r="AB16" s="10" t="n">
        <f aca="false">SUM(X16:AA16)</f>
        <v>1</v>
      </c>
      <c r="AC16" s="7" t="n">
        <f aca="false" t="array" ref="AC16:AC16">MMULT(MMULT(X16:AA16,$N$2:$Q$5),TRANSPOSE(X16:AA16))</f>
        <v>0.000350174675757732</v>
      </c>
      <c r="AD16" s="7" t="n">
        <f aca="false">SUMPRODUCT(X16:AA16,$E$237:$H$237)</f>
        <v>6.62196283518393E-005</v>
      </c>
      <c r="AE16" s="11" t="n">
        <f aca="false">(AD16-$I$2)/SQRT(AC16)</f>
        <v>-0.0185388127830919</v>
      </c>
      <c r="AF16" s="7" t="n">
        <f aca="false">AD16</f>
        <v>6.62196283518393E-005</v>
      </c>
      <c r="AG16" s="7" t="n">
        <f aca="false">AC16</f>
        <v>0.000350174675757732</v>
      </c>
      <c r="AH16" s="10" t="n">
        <f aca="false">X16</f>
        <v>0.471698113207547</v>
      </c>
      <c r="AI16" s="10" t="n">
        <f aca="false">Y16</f>
        <v>0.0440251572327044</v>
      </c>
      <c r="AJ16" s="10" t="n">
        <f aca="false">Z16</f>
        <v>0.0943396226415094</v>
      </c>
      <c r="AK16" s="10" t="n">
        <f aca="false">AA16</f>
        <v>0.389937106918239</v>
      </c>
      <c r="AM16" s="19" t="s">
        <v>3</v>
      </c>
      <c r="AN16" s="7" t="n">
        <f aca="false">N5</f>
        <v>0.00026324613766702</v>
      </c>
      <c r="AO16" s="7" t="n">
        <f aca="false">O5</f>
        <v>0.000142656676789829</v>
      </c>
      <c r="AP16" s="7" t="n">
        <f aca="false">P5</f>
        <v>7.05226955319571E-005</v>
      </c>
      <c r="AQ16" s="7" t="n">
        <f aca="false">Q5</f>
        <v>0.000334754070369689</v>
      </c>
    </row>
    <row r="17" customFormat="false" ht="15" hidden="false" customHeight="true" outlineLevel="0" collapsed="false">
      <c r="A17" s="5" t="n">
        <f aca="false">aci!H18</f>
        <v>167.9</v>
      </c>
      <c r="B17" s="5" t="n">
        <f aca="false">apexfoot!H18</f>
        <v>205.9</v>
      </c>
      <c r="C17" s="5" t="n">
        <f aca="false">bxpharma!H18</f>
        <v>81</v>
      </c>
      <c r="D17" s="5" t="n">
        <f aca="false">batbc!H18</f>
        <v>324.6</v>
      </c>
      <c r="E17" s="7" t="n">
        <f aca="false">LN(A16/A17)</f>
        <v>-0.0283921215534886</v>
      </c>
      <c r="F17" s="7" t="n">
        <f aca="false">LN(B16/B17)</f>
        <v>-0.00340550073712942</v>
      </c>
      <c r="G17" s="7" t="n">
        <f aca="false">LN(C16/C17)</f>
        <v>0</v>
      </c>
      <c r="H17" s="7" t="n">
        <f aca="false">LN(D16/D17)</f>
        <v>0.000923787594563681</v>
      </c>
      <c r="I17" s="7" t="n">
        <f aca="false">E17-$I$2</f>
        <v>-0.028805257146709</v>
      </c>
      <c r="J17" s="7" t="n">
        <f aca="false">F17-$J$2</f>
        <v>-0.00381863633034976</v>
      </c>
      <c r="K17" s="7" t="n">
        <f aca="false">G17-$K$2</f>
        <v>-0.000413135593220339</v>
      </c>
      <c r="L17" s="7" t="n">
        <f aca="false">H17-$L$2</f>
        <v>0.000510652001343342</v>
      </c>
      <c r="S17" s="9" t="n">
        <v>0.82</v>
      </c>
      <c r="T17" s="9" t="n">
        <v>0.65</v>
      </c>
      <c r="U17" s="9" t="n">
        <v>0.63</v>
      </c>
      <c r="V17" s="9" t="n">
        <v>0.95</v>
      </c>
      <c r="W17" s="5" t="n">
        <f aca="false">SUM(S17:V17)</f>
        <v>3.05</v>
      </c>
      <c r="X17" s="10" t="n">
        <f aca="false">S17/$W17</f>
        <v>0.268852459016393</v>
      </c>
      <c r="Y17" s="10" t="n">
        <f aca="false">T17/$W17</f>
        <v>0.213114754098361</v>
      </c>
      <c r="Z17" s="10" t="n">
        <f aca="false">U17/$W17</f>
        <v>0.20655737704918</v>
      </c>
      <c r="AA17" s="10" t="n">
        <f aca="false">V17/$W17</f>
        <v>0.311475409836066</v>
      </c>
      <c r="AB17" s="10" t="n">
        <f aca="false">SUM(X17:AA17)</f>
        <v>1</v>
      </c>
      <c r="AC17" s="7" t="n">
        <f aca="false" t="array" ref="AC17:AC17">MMULT(MMULT(X17:AA17,$N$2:$Q$5),TRANSPOSE(X17:AA17))</f>
        <v>0.000238546071951219</v>
      </c>
      <c r="AD17" s="7" t="n">
        <f aca="false">SUMPRODUCT(X17:AA17,$E$237:$H$237)</f>
        <v>-0.000233150495017649</v>
      </c>
      <c r="AE17" s="11" t="n">
        <f aca="false">(AD17-$I$2)/SQRT(AC17)</f>
        <v>-0.0418445279315203</v>
      </c>
      <c r="AF17" s="7" t="n">
        <f aca="false">AD17</f>
        <v>-0.000233150495017649</v>
      </c>
      <c r="AG17" s="7" t="n">
        <f aca="false">AC17</f>
        <v>0.000238546071951219</v>
      </c>
      <c r="AH17" s="10" t="n">
        <f aca="false">X17</f>
        <v>0.268852459016393</v>
      </c>
      <c r="AI17" s="10" t="n">
        <f aca="false">Y17</f>
        <v>0.213114754098361</v>
      </c>
      <c r="AJ17" s="10" t="n">
        <f aca="false">Z17</f>
        <v>0.20655737704918</v>
      </c>
      <c r="AK17" s="10" t="n">
        <f aca="false">AA17</f>
        <v>0.311475409836066</v>
      </c>
      <c r="AM17" s="19" t="s">
        <v>36</v>
      </c>
    </row>
    <row r="18" customFormat="false" ht="15" hidden="false" customHeight="true" outlineLevel="0" collapsed="false">
      <c r="A18" s="5" t="n">
        <f aca="false">aci!H19</f>
        <v>164.1</v>
      </c>
      <c r="B18" s="5" t="n">
        <f aca="false">apexfoot!H19</f>
        <v>204.9</v>
      </c>
      <c r="C18" s="5" t="n">
        <f aca="false">bxpharma!H19</f>
        <v>78.5</v>
      </c>
      <c r="D18" s="5" t="n">
        <f aca="false">batbc!H19</f>
        <v>324.3</v>
      </c>
      <c r="E18" s="7" t="n">
        <f aca="false">LN(A17/A18)</f>
        <v>0.0228925659874501</v>
      </c>
      <c r="F18" s="7" t="n">
        <f aca="false">LN(B17/B18)</f>
        <v>0.00486855878888964</v>
      </c>
      <c r="G18" s="7" t="n">
        <f aca="false">LN(C17/C18)</f>
        <v>0.031350529884076</v>
      </c>
      <c r="H18" s="7" t="n">
        <f aca="false">LN(D17/D18)</f>
        <v>0.000924641767218685</v>
      </c>
      <c r="I18" s="7" t="n">
        <f aca="false">E18-$I$2</f>
        <v>0.0224794303942297</v>
      </c>
      <c r="J18" s="7" t="n">
        <f aca="false">F18-$J$2</f>
        <v>0.0044554231956693</v>
      </c>
      <c r="K18" s="7" t="n">
        <f aca="false">G18-$K$2</f>
        <v>0.0309373942908557</v>
      </c>
      <c r="L18" s="7" t="n">
        <f aca="false">H18-$L$2</f>
        <v>0.000511506173998346</v>
      </c>
      <c r="S18" s="9" t="n">
        <v>0.44</v>
      </c>
      <c r="T18" s="9" t="n">
        <v>0.73</v>
      </c>
      <c r="U18" s="9" t="n">
        <v>0.71</v>
      </c>
      <c r="V18" s="9" t="n">
        <v>0.7</v>
      </c>
      <c r="W18" s="5" t="n">
        <f aca="false">SUM(S18:V18)</f>
        <v>2.58</v>
      </c>
      <c r="X18" s="10" t="n">
        <f aca="false">S18/$W18</f>
        <v>0.170542635658915</v>
      </c>
      <c r="Y18" s="10" t="n">
        <f aca="false">T18/$W18</f>
        <v>0.282945736434109</v>
      </c>
      <c r="Z18" s="10" t="n">
        <f aca="false">U18/$W18</f>
        <v>0.275193798449612</v>
      </c>
      <c r="AA18" s="10" t="n">
        <f aca="false">V18/$W18</f>
        <v>0.271317829457364</v>
      </c>
      <c r="AB18" s="10" t="n">
        <f aca="false">SUM(X18:AA18)</f>
        <v>1</v>
      </c>
      <c r="AC18" s="7" t="n">
        <f aca="false" t="array" ref="AC18:AC18">MMULT(MMULT(X18:AA18,$N$2:$Q$5),TRANSPOSE(X18:AA18))</f>
        <v>0.000212555245369456</v>
      </c>
      <c r="AD18" s="7" t="n">
        <f aca="false">SUMPRODUCT(X18:AA18,$E$237:$H$237)</f>
        <v>-0.000374073497896017</v>
      </c>
      <c r="AE18" s="11" t="n">
        <f aca="false">(AD18-$I$2)/SQRT(AC18)</f>
        <v>-0.0539950798191542</v>
      </c>
      <c r="AF18" s="7" t="n">
        <f aca="false">AD18</f>
        <v>-0.000374073497896017</v>
      </c>
      <c r="AG18" s="7" t="n">
        <f aca="false">AC18</f>
        <v>0.000212555245369456</v>
      </c>
      <c r="AH18" s="10" t="n">
        <f aca="false">X18</f>
        <v>0.170542635658915</v>
      </c>
      <c r="AI18" s="10" t="n">
        <f aca="false">Y18</f>
        <v>0.282945736434109</v>
      </c>
      <c r="AJ18" s="10" t="n">
        <f aca="false">Z18</f>
        <v>0.275193798449612</v>
      </c>
      <c r="AK18" s="10" t="n">
        <f aca="false">AA18</f>
        <v>0.271317829457364</v>
      </c>
      <c r="AM18" s="20" t="s">
        <v>37</v>
      </c>
      <c r="AN18" s="20"/>
      <c r="AO18" s="20"/>
      <c r="AP18" s="20"/>
      <c r="AQ18" s="20"/>
      <c r="AR18" s="20"/>
      <c r="AS18" s="20"/>
      <c r="AT18" s="20"/>
    </row>
    <row r="19" customFormat="false" ht="15" hidden="false" customHeight="true" outlineLevel="0" collapsed="false">
      <c r="A19" s="5" t="n">
        <f aca="false">aci!H20</f>
        <v>165.5</v>
      </c>
      <c r="B19" s="5" t="n">
        <f aca="false">apexfoot!H20</f>
        <v>206.9</v>
      </c>
      <c r="C19" s="5" t="n">
        <f aca="false">bxpharma!H20</f>
        <v>78.3</v>
      </c>
      <c r="D19" s="5" t="n">
        <f aca="false">batbc!H20</f>
        <v>326.6</v>
      </c>
      <c r="E19" s="7" t="n">
        <f aca="false">LN(A18/A19)</f>
        <v>-0.00849519672107246</v>
      </c>
      <c r="F19" s="7" t="n">
        <f aca="false">LN(B18/B19)</f>
        <v>-0.00971352950664325</v>
      </c>
      <c r="G19" s="7" t="n">
        <f aca="false">LN(C18/C19)</f>
        <v>0.00255102179160543</v>
      </c>
      <c r="H19" s="7" t="n">
        <f aca="false">LN(D18/D19)</f>
        <v>-0.00706716722309244</v>
      </c>
      <c r="I19" s="7" t="n">
        <f aca="false">E19-$I$2</f>
        <v>-0.0089083323142928</v>
      </c>
      <c r="J19" s="7" t="n">
        <f aca="false">F19-$J$2</f>
        <v>-0.0101266650998636</v>
      </c>
      <c r="K19" s="7" t="n">
        <f aca="false">G19-$K$2</f>
        <v>0.00213788619838509</v>
      </c>
      <c r="L19" s="7" t="n">
        <f aca="false">H19-$L$2</f>
        <v>-0.00748030281631278</v>
      </c>
      <c r="S19" s="9" t="n">
        <v>0.66</v>
      </c>
      <c r="T19" s="9" t="n">
        <v>0.03</v>
      </c>
      <c r="U19" s="9" t="n">
        <v>0.65</v>
      </c>
      <c r="V19" s="9" t="n">
        <v>0.7</v>
      </c>
      <c r="W19" s="5" t="n">
        <f aca="false">SUM(S19:V19)</f>
        <v>2.04</v>
      </c>
      <c r="X19" s="10" t="n">
        <f aca="false">S19/$W19</f>
        <v>0.323529411764706</v>
      </c>
      <c r="Y19" s="10" t="n">
        <f aca="false">T19/$W19</f>
        <v>0.0147058823529412</v>
      </c>
      <c r="Z19" s="10" t="n">
        <f aca="false">U19/$W19</f>
        <v>0.318627450980392</v>
      </c>
      <c r="AA19" s="10" t="n">
        <f aca="false">V19/$W19</f>
        <v>0.343137254901961</v>
      </c>
      <c r="AB19" s="10" t="n">
        <f aca="false">SUM(X19:AA19)</f>
        <v>1</v>
      </c>
      <c r="AC19" s="7" t="n">
        <f aca="false" t="array" ref="AC19:AC19">MMULT(MMULT(X19:AA19,$N$2:$Q$5),TRANSPOSE(X19:AA19))</f>
        <v>0.000288176914219004</v>
      </c>
      <c r="AD19" s="7" t="n">
        <f aca="false">SUMPRODUCT(X19:AA19,$E$237:$H$237)</f>
        <v>-0.000121804103233596</v>
      </c>
      <c r="AE19" s="11" t="n">
        <f aca="false">(AD19-$I$2)/SQRT(AC19)</f>
        <v>-0.0315119467275781</v>
      </c>
      <c r="AF19" s="7" t="n">
        <f aca="false">AD19</f>
        <v>-0.000121804103233596</v>
      </c>
      <c r="AG19" s="7" t="n">
        <f aca="false">AC19</f>
        <v>0.000288176914219004</v>
      </c>
      <c r="AH19" s="10" t="n">
        <f aca="false">X19</f>
        <v>0.323529411764706</v>
      </c>
      <c r="AI19" s="10" t="n">
        <f aca="false">Y19</f>
        <v>0.0147058823529412</v>
      </c>
      <c r="AJ19" s="10" t="n">
        <f aca="false">Z19</f>
        <v>0.318627450980392</v>
      </c>
      <c r="AK19" s="10" t="n">
        <f aca="false">AA19</f>
        <v>0.343137254901961</v>
      </c>
      <c r="AM19" s="20" t="s">
        <v>38</v>
      </c>
      <c r="AN19" s="20"/>
      <c r="AO19" s="20"/>
      <c r="AP19" s="20"/>
      <c r="AQ19" s="20"/>
      <c r="AR19" s="20"/>
      <c r="AS19" s="20"/>
      <c r="AT19" s="20"/>
    </row>
    <row r="20" customFormat="false" ht="15" hidden="false" customHeight="true" outlineLevel="0" collapsed="false">
      <c r="A20" s="5" t="n">
        <f aca="false">aci!H21</f>
        <v>167.6</v>
      </c>
      <c r="B20" s="5" t="n">
        <f aca="false">apexfoot!H21</f>
        <v>206.9</v>
      </c>
      <c r="C20" s="5" t="n">
        <f aca="false">bxpharma!H21</f>
        <v>79.5</v>
      </c>
      <c r="D20" s="5" t="n">
        <f aca="false">batbc!H21</f>
        <v>327.6</v>
      </c>
      <c r="E20" s="7" t="n">
        <f aca="false">LN(A19/A20)</f>
        <v>-0.0126089932308651</v>
      </c>
      <c r="F20" s="7" t="n">
        <f aca="false">LN(B19/B20)</f>
        <v>0</v>
      </c>
      <c r="G20" s="7" t="n">
        <f aca="false">LN(C19/C20)</f>
        <v>-0.0152094186635288</v>
      </c>
      <c r="H20" s="7" t="n">
        <f aca="false">LN(D19/D20)</f>
        <v>-0.00305717144254961</v>
      </c>
      <c r="I20" s="7" t="n">
        <f aca="false">E20-$I$2</f>
        <v>-0.0130221288240854</v>
      </c>
      <c r="J20" s="7" t="n">
        <f aca="false">F20-$J$2</f>
        <v>-0.000413135593220339</v>
      </c>
      <c r="K20" s="7" t="n">
        <f aca="false">G20-$K$2</f>
        <v>-0.0156225542567491</v>
      </c>
      <c r="L20" s="7" t="n">
        <f aca="false">H20-$L$2</f>
        <v>-0.00347030703576995</v>
      </c>
      <c r="S20" s="9" t="n">
        <v>0.82</v>
      </c>
      <c r="T20" s="9" t="n">
        <v>0.53</v>
      </c>
      <c r="U20" s="9" t="n">
        <v>0.57</v>
      </c>
      <c r="V20" s="9" t="n">
        <v>0.71</v>
      </c>
      <c r="W20" s="5" t="n">
        <f aca="false">SUM(S20:V20)</f>
        <v>2.63</v>
      </c>
      <c r="X20" s="10" t="n">
        <f aca="false">S20/$W20</f>
        <v>0.311787072243346</v>
      </c>
      <c r="Y20" s="10" t="n">
        <f aca="false">T20/$W20</f>
        <v>0.201520912547529</v>
      </c>
      <c r="Z20" s="10" t="n">
        <f aca="false">U20/$W20</f>
        <v>0.216730038022814</v>
      </c>
      <c r="AA20" s="10" t="n">
        <f aca="false">V20/$W20</f>
        <v>0.269961977186312</v>
      </c>
      <c r="AB20" s="10" t="n">
        <f aca="false">SUM(X20:AA20)</f>
        <v>1</v>
      </c>
      <c r="AC20" s="7" t="n">
        <f aca="false" t="array" ref="AC20:AC20">MMULT(MMULT(X20:AA20,$N$2:$Q$5),TRANSPOSE(X20:AA20))</f>
        <v>0.000251556452028031</v>
      </c>
      <c r="AD20" s="7" t="n">
        <f aca="false">SUMPRODUCT(X20:AA20,$E$237:$H$237)</f>
        <v>-0.000141553953027453</v>
      </c>
      <c r="AE20" s="11" t="n">
        <f aca="false">(AD20-$I$2)/SQRT(AC20)</f>
        <v>-0.0349729486962274</v>
      </c>
      <c r="AF20" s="7" t="n">
        <f aca="false">AD20</f>
        <v>-0.000141553953027453</v>
      </c>
      <c r="AG20" s="7" t="n">
        <f aca="false">AC20</f>
        <v>0.000251556452028031</v>
      </c>
      <c r="AH20" s="10" t="n">
        <f aca="false">X20</f>
        <v>0.311787072243346</v>
      </c>
      <c r="AI20" s="10" t="n">
        <f aca="false">Y20</f>
        <v>0.201520912547529</v>
      </c>
      <c r="AJ20" s="10" t="n">
        <f aca="false">Z20</f>
        <v>0.216730038022814</v>
      </c>
      <c r="AK20" s="10" t="n">
        <f aca="false">AA20</f>
        <v>0.269961977186312</v>
      </c>
      <c r="AM20" s="20" t="s">
        <v>39</v>
      </c>
      <c r="AN20" s="20"/>
      <c r="AO20" s="20"/>
      <c r="AP20" s="20"/>
      <c r="AQ20" s="20"/>
      <c r="AR20" s="20"/>
      <c r="AS20" s="20"/>
      <c r="AT20" s="20"/>
    </row>
    <row r="21" customFormat="false" ht="15" hidden="false" customHeight="true" outlineLevel="0" collapsed="false">
      <c r="A21" s="5" t="n">
        <f aca="false">aci!H22</f>
        <v>166.4</v>
      </c>
      <c r="B21" s="5" t="n">
        <f aca="false">apexfoot!H22</f>
        <v>207.3</v>
      </c>
      <c r="C21" s="5" t="n">
        <f aca="false">bxpharma!H22</f>
        <v>78.3</v>
      </c>
      <c r="D21" s="5" t="n">
        <f aca="false">batbc!H22</f>
        <v>327</v>
      </c>
      <c r="E21" s="7" t="n">
        <f aca="false">LN(A20/A21)</f>
        <v>0.00718565966087431</v>
      </c>
      <c r="F21" s="7" t="n">
        <f aca="false">LN(B20/B21)</f>
        <v>-0.00193143469023654</v>
      </c>
      <c r="G21" s="7" t="n">
        <f aca="false">LN(C20/C21)</f>
        <v>0.0152094186635289</v>
      </c>
      <c r="H21" s="7" t="n">
        <f aca="false">LN(D20/D21)</f>
        <v>0.00183318108166113</v>
      </c>
      <c r="I21" s="7" t="n">
        <f aca="false">E21-$I$2</f>
        <v>0.00677252406765397</v>
      </c>
      <c r="J21" s="7" t="n">
        <f aca="false">F21-$J$2</f>
        <v>-0.00234457028345688</v>
      </c>
      <c r="K21" s="7" t="n">
        <f aca="false">G21-$K$2</f>
        <v>0.0147962830703086</v>
      </c>
      <c r="L21" s="7" t="n">
        <f aca="false">H21-$L$2</f>
        <v>0.00142004548844079</v>
      </c>
      <c r="S21" s="9" t="n">
        <v>0.78</v>
      </c>
      <c r="T21" s="9" t="n">
        <v>0.59</v>
      </c>
      <c r="U21" s="9" t="n">
        <v>0.61</v>
      </c>
      <c r="V21" s="9" t="n">
        <v>0.9</v>
      </c>
      <c r="W21" s="5" t="n">
        <f aca="false">SUM(S21:V21)</f>
        <v>2.88</v>
      </c>
      <c r="X21" s="10" t="n">
        <f aca="false">S21/$W21</f>
        <v>0.270833333333333</v>
      </c>
      <c r="Y21" s="10" t="n">
        <f aca="false">T21/$W21</f>
        <v>0.204861111111111</v>
      </c>
      <c r="Z21" s="10" t="n">
        <f aca="false">U21/$W21</f>
        <v>0.211805555555556</v>
      </c>
      <c r="AA21" s="10" t="n">
        <f aca="false">V21/$W21</f>
        <v>0.3125</v>
      </c>
      <c r="AB21" s="10" t="n">
        <f aca="false">SUM(X21:AA21)</f>
        <v>1</v>
      </c>
      <c r="AC21" s="7" t="n">
        <f aca="false" t="array" ref="AC21:AC21">MMULT(MMULT(X21:AA21,$N$2:$Q$5),TRANSPOSE(X21:AA21))</f>
        <v>0.000239816933401195</v>
      </c>
      <c r="AD21" s="7" t="n">
        <f aca="false">SUMPRODUCT(X21:AA21,$E$237:$H$237)</f>
        <v>-0.00022878813359193</v>
      </c>
      <c r="AE21" s="11" t="n">
        <f aca="false">(AD21-$I$2)/SQRT(AC21)</f>
        <v>-0.0414518106613583</v>
      </c>
      <c r="AF21" s="7" t="n">
        <f aca="false">AD21</f>
        <v>-0.00022878813359193</v>
      </c>
      <c r="AG21" s="7" t="n">
        <f aca="false">AC21</f>
        <v>0.000239816933401195</v>
      </c>
      <c r="AH21" s="10" t="n">
        <f aca="false">X21</f>
        <v>0.270833333333333</v>
      </c>
      <c r="AI21" s="10" t="n">
        <f aca="false">Y21</f>
        <v>0.204861111111111</v>
      </c>
      <c r="AJ21" s="10" t="n">
        <f aca="false">Z21</f>
        <v>0.211805555555556</v>
      </c>
      <c r="AK21" s="10" t="n">
        <f aca="false">AA21</f>
        <v>0.3125</v>
      </c>
      <c r="AM21" s="20" t="s">
        <v>40</v>
      </c>
      <c r="AN21" s="20"/>
      <c r="AO21" s="20"/>
      <c r="AP21" s="20"/>
      <c r="AQ21" s="20"/>
      <c r="AR21" s="20"/>
      <c r="AS21" s="20"/>
      <c r="AT21" s="20"/>
    </row>
    <row r="22" customFormat="false" ht="15" hidden="false" customHeight="true" outlineLevel="0" collapsed="false">
      <c r="A22" s="5" t="n">
        <f aca="false">aci!H23</f>
        <v>168.6</v>
      </c>
      <c r="B22" s="5" t="n">
        <f aca="false">apexfoot!H23</f>
        <v>208.2</v>
      </c>
      <c r="C22" s="5" t="n">
        <f aca="false">bxpharma!H23</f>
        <v>79</v>
      </c>
      <c r="D22" s="5" t="n">
        <f aca="false">batbc!H23</f>
        <v>330.7</v>
      </c>
      <c r="E22" s="7" t="n">
        <f aca="false">LN(A21/A22)</f>
        <v>-0.0131345171806468</v>
      </c>
      <c r="F22" s="7" t="n">
        <f aca="false">LN(B21/B22)</f>
        <v>-0.00433213673913446</v>
      </c>
      <c r="G22" s="7" t="n">
        <f aca="false">LN(C21/C22)</f>
        <v>-0.00890024947026413</v>
      </c>
      <c r="H22" s="7" t="n">
        <f aca="false">LN(D21/D22)</f>
        <v>-0.0112514490904937</v>
      </c>
      <c r="I22" s="7" t="n">
        <f aca="false">E22-$I$2</f>
        <v>-0.0135476527738672</v>
      </c>
      <c r="J22" s="7" t="n">
        <f aca="false">F22-$J$2</f>
        <v>-0.0047452723323548</v>
      </c>
      <c r="K22" s="7" t="n">
        <f aca="false">G22-$K$2</f>
        <v>-0.00931338506348447</v>
      </c>
      <c r="L22" s="7" t="n">
        <f aca="false">H22-$L$2</f>
        <v>-0.011664584683714</v>
      </c>
      <c r="S22" s="9" t="n">
        <v>0.73</v>
      </c>
      <c r="T22" s="9" t="n">
        <v>0.07</v>
      </c>
      <c r="U22" s="9" t="n">
        <v>0.85</v>
      </c>
      <c r="V22" s="9" t="n">
        <v>0.69</v>
      </c>
      <c r="W22" s="5" t="n">
        <f aca="false">SUM(S22:V22)</f>
        <v>2.34</v>
      </c>
      <c r="X22" s="10" t="n">
        <f aca="false">S22/$W22</f>
        <v>0.311965811965812</v>
      </c>
      <c r="Y22" s="10" t="n">
        <f aca="false">T22/$W22</f>
        <v>0.0299145299145299</v>
      </c>
      <c r="Z22" s="10" t="n">
        <f aca="false">U22/$W22</f>
        <v>0.363247863247863</v>
      </c>
      <c r="AA22" s="10" t="n">
        <f aca="false">V22/$W22</f>
        <v>0.294871794871795</v>
      </c>
      <c r="AB22" s="10" t="n">
        <f aca="false">SUM(X22:AA22)</f>
        <v>1</v>
      </c>
      <c r="AC22" s="7" t="n">
        <f aca="false" t="array" ref="AC22:AC22">MMULT(MMULT(X22:AA22,$N$2:$Q$5),TRANSPOSE(X22:AA22))</f>
        <v>0.000286341146068101</v>
      </c>
      <c r="AD22" s="7" t="n">
        <f aca="false">SUMPRODUCT(X22:AA22,$E$237:$H$237)</f>
        <v>-0.000114548796308452</v>
      </c>
      <c r="AE22" s="11" t="n">
        <f aca="false">(AD22-$I$2)/SQRT(AC22)</f>
        <v>-0.0311840391645065</v>
      </c>
      <c r="AF22" s="7" t="n">
        <f aca="false">AD22</f>
        <v>-0.000114548796308452</v>
      </c>
      <c r="AG22" s="7" t="n">
        <f aca="false">AC22</f>
        <v>0.000286341146068101</v>
      </c>
      <c r="AH22" s="10" t="n">
        <f aca="false">X22</f>
        <v>0.311965811965812</v>
      </c>
      <c r="AI22" s="10" t="n">
        <f aca="false">Y22</f>
        <v>0.0299145299145299</v>
      </c>
      <c r="AJ22" s="10" t="n">
        <f aca="false">Z22</f>
        <v>0.363247863247863</v>
      </c>
      <c r="AK22" s="10" t="n">
        <f aca="false">AA22</f>
        <v>0.294871794871795</v>
      </c>
      <c r="AM22" s="20" t="s">
        <v>41</v>
      </c>
      <c r="AN22" s="20"/>
      <c r="AO22" s="20"/>
      <c r="AP22" s="20"/>
      <c r="AQ22" s="20"/>
      <c r="AR22" s="20"/>
      <c r="AS22" s="20"/>
      <c r="AT22" s="20"/>
    </row>
    <row r="23" customFormat="false" ht="15" hidden="false" customHeight="true" outlineLevel="0" collapsed="false">
      <c r="A23" s="5" t="n">
        <f aca="false">aci!H24</f>
        <v>169.6</v>
      </c>
      <c r="B23" s="5" t="n">
        <f aca="false">apexfoot!H24</f>
        <v>206.9</v>
      </c>
      <c r="C23" s="5" t="n">
        <f aca="false">bxpharma!H24</f>
        <v>79.2</v>
      </c>
      <c r="D23" s="5" t="n">
        <f aca="false">batbc!H24</f>
        <v>333.9</v>
      </c>
      <c r="E23" s="7" t="n">
        <f aca="false">LN(A22/A23)</f>
        <v>-0.00591367779004763</v>
      </c>
      <c r="F23" s="7" t="n">
        <f aca="false">LN(B22/B23)</f>
        <v>0.00626357142937117</v>
      </c>
      <c r="G23" s="7" t="n">
        <f aca="false">LN(C22/C23)</f>
        <v>-0.00252844635335875</v>
      </c>
      <c r="H23" s="7" t="n">
        <f aca="false">LN(D22/D23)</f>
        <v>-0.00962992696186169</v>
      </c>
      <c r="I23" s="7" t="n">
        <f aca="false">E23-$I$2</f>
        <v>-0.00632681338326797</v>
      </c>
      <c r="J23" s="7" t="n">
        <f aca="false">F23-$J$2</f>
        <v>0.00585043583615083</v>
      </c>
      <c r="K23" s="7" t="n">
        <f aca="false">G23-$K$2</f>
        <v>-0.00294158194657909</v>
      </c>
      <c r="L23" s="7" t="n">
        <f aca="false">H23-$L$2</f>
        <v>-0.010043062555082</v>
      </c>
      <c r="S23" s="9" t="n">
        <v>0.66</v>
      </c>
      <c r="T23" s="9" t="n">
        <v>0.99</v>
      </c>
      <c r="U23" s="9" t="n">
        <v>0.29</v>
      </c>
      <c r="V23" s="9" t="n">
        <v>0.38</v>
      </c>
      <c r="W23" s="5" t="n">
        <f aca="false">SUM(S23:V23)</f>
        <v>2.32</v>
      </c>
      <c r="X23" s="10" t="n">
        <f aca="false">S23/$W23</f>
        <v>0.28448275862069</v>
      </c>
      <c r="Y23" s="10" t="n">
        <f aca="false">T23/$W23</f>
        <v>0.426724137931035</v>
      </c>
      <c r="Z23" s="10" t="n">
        <f aca="false">U23/$W23</f>
        <v>0.125</v>
      </c>
      <c r="AA23" s="10" t="n">
        <f aca="false">V23/$W23</f>
        <v>0.163793103448276</v>
      </c>
      <c r="AB23" s="10" t="n">
        <f aca="false">SUM(X23:AA23)</f>
        <v>1</v>
      </c>
      <c r="AC23" s="7" t="n">
        <f aca="false" t="array" ref="AC23:AC23">MMULT(MMULT(X23:AA23,$N$2:$Q$5),TRANSPOSE(X23:AA23))</f>
        <v>0.000236517619507371</v>
      </c>
      <c r="AD23" s="7" t="n">
        <f aca="false">SUMPRODUCT(X23:AA23,$E$237:$H$237)</f>
        <v>-0.000174585662484172</v>
      </c>
      <c r="AE23" s="11" t="n">
        <f aca="false">(AD23-$I$2)/SQRT(AC23)</f>
        <v>-0.0382155089797011</v>
      </c>
      <c r="AF23" s="7" t="n">
        <f aca="false">AD23</f>
        <v>-0.000174585662484172</v>
      </c>
      <c r="AG23" s="7" t="n">
        <f aca="false">AC23</f>
        <v>0.000236517619507371</v>
      </c>
      <c r="AH23" s="10" t="n">
        <f aca="false">X23</f>
        <v>0.28448275862069</v>
      </c>
      <c r="AI23" s="10" t="n">
        <f aca="false">Y23</f>
        <v>0.426724137931035</v>
      </c>
      <c r="AJ23" s="10" t="n">
        <f aca="false">Z23</f>
        <v>0.125</v>
      </c>
      <c r="AK23" s="10" t="n">
        <f aca="false">AA23</f>
        <v>0.163793103448276</v>
      </c>
      <c r="AM23" s="20" t="s">
        <v>42</v>
      </c>
      <c r="AN23" s="20"/>
      <c r="AO23" s="20"/>
      <c r="AP23" s="20"/>
      <c r="AQ23" s="20"/>
      <c r="AR23" s="20"/>
      <c r="AS23" s="20"/>
      <c r="AT23" s="20"/>
    </row>
    <row r="24" customFormat="false" ht="15" hidden="false" customHeight="true" outlineLevel="0" collapsed="false">
      <c r="A24" s="5" t="n">
        <f aca="false">aci!H25</f>
        <v>159.2</v>
      </c>
      <c r="B24" s="5" t="n">
        <f aca="false">apexfoot!H25</f>
        <v>203.2</v>
      </c>
      <c r="C24" s="5" t="n">
        <f aca="false">bxpharma!H25</f>
        <v>78.6</v>
      </c>
      <c r="D24" s="5" t="n">
        <f aca="false">batbc!H25</f>
        <v>334</v>
      </c>
      <c r="E24" s="7" t="n">
        <f aca="false">LN(A23/A24)</f>
        <v>0.06328144994752</v>
      </c>
      <c r="F24" s="7" t="n">
        <f aca="false">LN(B23/B24)</f>
        <v>0.0180448690471706</v>
      </c>
      <c r="G24" s="7" t="n">
        <f aca="false">LN(C23/C24)</f>
        <v>0.00760459938521943</v>
      </c>
      <c r="H24" s="7" t="n">
        <f aca="false">LN(D23/D24)</f>
        <v>-0.000299446027091642</v>
      </c>
      <c r="I24" s="7" t="n">
        <f aca="false">E24-$I$2</f>
        <v>0.0628683143542997</v>
      </c>
      <c r="J24" s="7" t="n">
        <f aca="false">F24-$J$2</f>
        <v>0.0176317334539503</v>
      </c>
      <c r="K24" s="7" t="n">
        <f aca="false">G24-$K$2</f>
        <v>0.00719146379199909</v>
      </c>
      <c r="L24" s="7" t="n">
        <f aca="false">H24-$L$2</f>
        <v>-0.000712581620311981</v>
      </c>
      <c r="S24" s="9" t="n">
        <v>0.67</v>
      </c>
      <c r="T24" s="9" t="n">
        <v>0.15</v>
      </c>
      <c r="U24" s="9" t="n">
        <v>0.1</v>
      </c>
      <c r="V24" s="9" t="n">
        <v>0.23</v>
      </c>
      <c r="W24" s="5" t="n">
        <f aca="false">SUM(S24:V24)</f>
        <v>1.15</v>
      </c>
      <c r="X24" s="10" t="n">
        <f aca="false">S24/$W24</f>
        <v>0.582608695652174</v>
      </c>
      <c r="Y24" s="10" t="n">
        <f aca="false">T24/$W24</f>
        <v>0.130434782608696</v>
      </c>
      <c r="Z24" s="10" t="n">
        <f aca="false">U24/$W24</f>
        <v>0.0869565217391304</v>
      </c>
      <c r="AA24" s="10" t="n">
        <f aca="false">V24/$W24</f>
        <v>0.2</v>
      </c>
      <c r="AB24" s="10" t="n">
        <f aca="false">SUM(X24:AA24)</f>
        <v>1</v>
      </c>
      <c r="AC24" s="7" t="n">
        <f aca="false" t="array" ref="AC24:AC24">MMULT(MMULT(X24:AA24,$N$2:$Q$5),TRANSPOSE(X24:AA24))</f>
        <v>0.000385817791570012</v>
      </c>
      <c r="AD24" s="7" t="n">
        <f aca="false">SUMPRODUCT(X24:AA24,$E$237:$H$237)</f>
        <v>0.000323270621689813</v>
      </c>
      <c r="AE24" s="11" t="n">
        <f aca="false">(AD24-$I$2)/SQRT(AC24)</f>
        <v>-0.00457508656415284</v>
      </c>
      <c r="AF24" s="7" t="n">
        <f aca="false">AD24</f>
        <v>0.000323270621689813</v>
      </c>
      <c r="AG24" s="7" t="n">
        <f aca="false">AC24</f>
        <v>0.000385817791570012</v>
      </c>
      <c r="AH24" s="10" t="n">
        <f aca="false">X24</f>
        <v>0.582608695652174</v>
      </c>
      <c r="AI24" s="10" t="n">
        <f aca="false">Y24</f>
        <v>0.130434782608696</v>
      </c>
      <c r="AJ24" s="10" t="n">
        <f aca="false">Z24</f>
        <v>0.0869565217391304</v>
      </c>
      <c r="AK24" s="10" t="n">
        <f aca="false">AA24</f>
        <v>0.2</v>
      </c>
      <c r="AM24" s="20" t="s">
        <v>43</v>
      </c>
      <c r="AN24" s="20"/>
      <c r="AO24" s="20"/>
      <c r="AP24" s="20"/>
      <c r="AQ24" s="20"/>
      <c r="AR24" s="20"/>
      <c r="AS24" s="20"/>
      <c r="AT24" s="20"/>
    </row>
    <row r="25" customFormat="false" ht="15" hidden="false" customHeight="true" outlineLevel="0" collapsed="false">
      <c r="A25" s="5" t="n">
        <f aca="false">aci!H26</f>
        <v>156.2</v>
      </c>
      <c r="B25" s="5" t="n">
        <f aca="false">apexfoot!H26</f>
        <v>202.1</v>
      </c>
      <c r="C25" s="5" t="n">
        <f aca="false">bxpharma!H26</f>
        <v>80.3</v>
      </c>
      <c r="D25" s="5" t="n">
        <f aca="false">batbc!H26</f>
        <v>346.7</v>
      </c>
      <c r="E25" s="7" t="n">
        <f aca="false">LN(A24/A25)</f>
        <v>0.0190240360046971</v>
      </c>
      <c r="F25" s="7" t="n">
        <f aca="false">LN(B24/B25)</f>
        <v>0.00542809129475156</v>
      </c>
      <c r="G25" s="7" t="n">
        <f aca="false">LN(C24/C25)</f>
        <v>-0.0213979215175552</v>
      </c>
      <c r="H25" s="7" t="n">
        <f aca="false">LN(D24/D25)</f>
        <v>-0.0373188597142773</v>
      </c>
      <c r="I25" s="7" t="n">
        <f aca="false">E25-$I$2</f>
        <v>0.0186109004114768</v>
      </c>
      <c r="J25" s="7" t="n">
        <f aca="false">F25-$J$2</f>
        <v>0.00501495570153122</v>
      </c>
      <c r="K25" s="7" t="n">
        <f aca="false">G25-$K$2</f>
        <v>-0.0218110571107756</v>
      </c>
      <c r="L25" s="7" t="n">
        <f aca="false">H25-$L$2</f>
        <v>-0.0377319953074977</v>
      </c>
      <c r="S25" s="9" t="n">
        <v>0.59</v>
      </c>
      <c r="T25" s="9" t="n">
        <v>0.33</v>
      </c>
      <c r="U25" s="9" t="n">
        <v>0.78</v>
      </c>
      <c r="V25" s="9" t="n">
        <v>0.84</v>
      </c>
      <c r="W25" s="5" t="n">
        <f aca="false">SUM(S25:V25)</f>
        <v>2.54</v>
      </c>
      <c r="X25" s="10" t="n">
        <f aca="false">S25/$W25</f>
        <v>0.232283464566929</v>
      </c>
      <c r="Y25" s="10" t="n">
        <f aca="false">T25/$W25</f>
        <v>0.12992125984252</v>
      </c>
      <c r="Z25" s="10" t="n">
        <f aca="false">U25/$W25</f>
        <v>0.307086614173228</v>
      </c>
      <c r="AA25" s="10" t="n">
        <f aca="false">V25/$W25</f>
        <v>0.330708661417323</v>
      </c>
      <c r="AB25" s="10" t="n">
        <f aca="false">SUM(X25:AA25)</f>
        <v>1</v>
      </c>
      <c r="AC25" s="7" t="n">
        <f aca="false" t="array" ref="AC25:AC25">MMULT(MMULT(X25:AA25,$N$2:$Q$5),TRANSPOSE(X25:AA25))</f>
        <v>0.000241673100559763</v>
      </c>
      <c r="AD25" s="7" t="n">
        <f aca="false">SUMPRODUCT(X25:AA25,$E$237:$H$237)</f>
        <v>-0.000279300044835019</v>
      </c>
      <c r="AE25" s="11" t="n">
        <f aca="false">(AD25-$I$2)/SQRT(AC25)</f>
        <v>-0.044541542716722</v>
      </c>
      <c r="AF25" s="7" t="n">
        <f aca="false">AD25</f>
        <v>-0.000279300044835019</v>
      </c>
      <c r="AG25" s="7" t="n">
        <f aca="false">AC25</f>
        <v>0.000241673100559763</v>
      </c>
      <c r="AH25" s="10" t="n">
        <f aca="false">X25</f>
        <v>0.232283464566929</v>
      </c>
      <c r="AI25" s="10" t="n">
        <f aca="false">Y25</f>
        <v>0.12992125984252</v>
      </c>
      <c r="AJ25" s="10" t="n">
        <f aca="false">Z25</f>
        <v>0.307086614173228</v>
      </c>
      <c r="AK25" s="10" t="n">
        <f aca="false">AA25</f>
        <v>0.330708661417323</v>
      </c>
      <c r="AM25" s="20" t="s">
        <v>44</v>
      </c>
      <c r="AN25" s="20"/>
      <c r="AO25" s="20"/>
      <c r="AP25" s="20"/>
      <c r="AQ25" s="20"/>
      <c r="AR25" s="20"/>
      <c r="AS25" s="20"/>
      <c r="AT25" s="20"/>
    </row>
    <row r="26" customFormat="false" ht="15" hidden="false" customHeight="true" outlineLevel="0" collapsed="false">
      <c r="A26" s="5" t="n">
        <f aca="false">aci!H27</f>
        <v>155.4</v>
      </c>
      <c r="B26" s="5" t="n">
        <f aca="false">apexfoot!H27</f>
        <v>203</v>
      </c>
      <c r="C26" s="5" t="n">
        <f aca="false">bxpharma!H27</f>
        <v>79.9</v>
      </c>
      <c r="D26" s="5" t="n">
        <f aca="false">batbc!H27</f>
        <v>346.7</v>
      </c>
      <c r="E26" s="7" t="n">
        <f aca="false">LN(A25/A26)</f>
        <v>0.00513479947203844</v>
      </c>
      <c r="F26" s="7" t="n">
        <f aca="false">LN(B25/B26)</f>
        <v>-0.00444335463221208</v>
      </c>
      <c r="G26" s="7" t="n">
        <f aca="false">LN(C25/C26)</f>
        <v>0.00499376818048697</v>
      </c>
      <c r="H26" s="7" t="n">
        <f aca="false">LN(D25/D26)</f>
        <v>0</v>
      </c>
      <c r="I26" s="7" t="n">
        <f aca="false">E26-$I$2</f>
        <v>0.0047216638788181</v>
      </c>
      <c r="J26" s="7" t="n">
        <f aca="false">F26-$J$2</f>
        <v>-0.00485649022543242</v>
      </c>
      <c r="K26" s="7" t="n">
        <f aca="false">G26-$K$2</f>
        <v>0.00458063258726664</v>
      </c>
      <c r="L26" s="7" t="n">
        <f aca="false">H26-$L$2</f>
        <v>-0.000413135593220339</v>
      </c>
      <c r="S26" s="9" t="n">
        <v>0.59</v>
      </c>
      <c r="T26" s="9" t="n">
        <v>0.21</v>
      </c>
      <c r="U26" s="9" t="n">
        <v>0.94</v>
      </c>
      <c r="V26" s="9" t="n">
        <v>0.16</v>
      </c>
      <c r="W26" s="5" t="n">
        <f aca="false">SUM(S26:V26)</f>
        <v>1.9</v>
      </c>
      <c r="X26" s="10" t="n">
        <f aca="false">S26/$W26</f>
        <v>0.310526315789474</v>
      </c>
      <c r="Y26" s="10" t="n">
        <f aca="false">T26/$W26</f>
        <v>0.110526315789474</v>
      </c>
      <c r="Z26" s="10" t="n">
        <f aca="false">U26/$W26</f>
        <v>0.494736842105263</v>
      </c>
      <c r="AA26" s="10" t="n">
        <f aca="false">V26/$W26</f>
        <v>0.0842105263157895</v>
      </c>
      <c r="AB26" s="10" t="n">
        <f aca="false">SUM(X26:AA26)</f>
        <v>1</v>
      </c>
      <c r="AC26" s="7" t="n">
        <f aca="false" t="array" ref="AC26:AC26">MMULT(MMULT(X26:AA26,$N$2:$Q$5),TRANSPOSE(X26:AA26))</f>
        <v>0.000310026611373116</v>
      </c>
      <c r="AD26" s="7" t="n">
        <f aca="false">SUMPRODUCT(X26:AA26,$E$237:$H$237)</f>
        <v>-1.26774039893168E-005</v>
      </c>
      <c r="AE26" s="11" t="n">
        <f aca="false">(AD26-$I$2)/SQRT(AC26)</f>
        <v>-0.0241835151219928</v>
      </c>
      <c r="AF26" s="7" t="n">
        <f aca="false">AD26</f>
        <v>-1.26774039893168E-005</v>
      </c>
      <c r="AG26" s="7" t="n">
        <f aca="false">AC26</f>
        <v>0.000310026611373116</v>
      </c>
      <c r="AH26" s="10" t="n">
        <f aca="false">X26</f>
        <v>0.310526315789474</v>
      </c>
      <c r="AI26" s="10" t="n">
        <f aca="false">Y26</f>
        <v>0.110526315789474</v>
      </c>
      <c r="AJ26" s="10" t="n">
        <f aca="false">Z26</f>
        <v>0.494736842105263</v>
      </c>
      <c r="AK26" s="10" t="n">
        <f aca="false">AA26</f>
        <v>0.0842105263157895</v>
      </c>
      <c r="AM26" s="20" t="s">
        <v>45</v>
      </c>
      <c r="AN26" s="20"/>
      <c r="AO26" s="20"/>
      <c r="AP26" s="20"/>
      <c r="AQ26" s="20"/>
      <c r="AR26" s="20"/>
      <c r="AS26" s="20"/>
      <c r="AT26" s="20"/>
    </row>
    <row r="27" customFormat="false" ht="15" hidden="false" customHeight="true" outlineLevel="0" collapsed="false">
      <c r="A27" s="5" t="n">
        <f aca="false">aci!H28</f>
        <v>155.2</v>
      </c>
      <c r="B27" s="5" t="n">
        <f aca="false">apexfoot!H28</f>
        <v>201.1</v>
      </c>
      <c r="C27" s="5" t="n">
        <f aca="false">bxpharma!H28</f>
        <v>78.5</v>
      </c>
      <c r="D27" s="5" t="n">
        <f aca="false">batbc!H28</f>
        <v>345.6</v>
      </c>
      <c r="E27" s="7" t="n">
        <f aca="false">LN(A26/A27)</f>
        <v>0.00128783018442891</v>
      </c>
      <c r="F27" s="7" t="n">
        <f aca="false">LN(B26/B27)</f>
        <v>0.00940368226318099</v>
      </c>
      <c r="G27" s="7" t="n">
        <f aca="false">LN(C26/C27)</f>
        <v>0.0176772279838662</v>
      </c>
      <c r="H27" s="7" t="n">
        <f aca="false">LN(D26/D27)</f>
        <v>0.00317781576107706</v>
      </c>
      <c r="I27" s="7" t="n">
        <f aca="false">E27-$I$2</f>
        <v>0.000874694591208569</v>
      </c>
      <c r="J27" s="7" t="n">
        <f aca="false">F27-$J$2</f>
        <v>0.00899054666996065</v>
      </c>
      <c r="K27" s="7" t="n">
        <f aca="false">G27-$K$2</f>
        <v>0.0172640923906459</v>
      </c>
      <c r="L27" s="7" t="n">
        <f aca="false">H27-$L$2</f>
        <v>0.00276468016785672</v>
      </c>
      <c r="S27" s="9" t="n">
        <v>0.73</v>
      </c>
      <c r="T27" s="9" t="n">
        <v>0.91</v>
      </c>
      <c r="U27" s="9" t="n">
        <v>0.41</v>
      </c>
      <c r="V27" s="9" t="n">
        <v>0.28</v>
      </c>
      <c r="W27" s="5" t="n">
        <f aca="false">SUM(S27:V27)</f>
        <v>2.33</v>
      </c>
      <c r="X27" s="10" t="n">
        <f aca="false">S27/$W27</f>
        <v>0.313304721030043</v>
      </c>
      <c r="Y27" s="10" t="n">
        <f aca="false">T27/$W27</f>
        <v>0.390557939914163</v>
      </c>
      <c r="Z27" s="10" t="n">
        <f aca="false">U27/$W27</f>
        <v>0.175965665236051</v>
      </c>
      <c r="AA27" s="10" t="n">
        <f aca="false">V27/$W27</f>
        <v>0.120171673819743</v>
      </c>
      <c r="AB27" s="10" t="n">
        <f aca="false">SUM(X27:AA27)</f>
        <v>1</v>
      </c>
      <c r="AC27" s="7" t="n">
        <f aca="false" t="array" ref="AC27:AC27">MMULT(MMULT(X27:AA27,$N$2:$Q$5),TRANSPOSE(X27:AA27))</f>
        <v>0.000242801460911472</v>
      </c>
      <c r="AD27" s="7" t="n">
        <f aca="false">SUMPRODUCT(X27:AA27,$E$237:$H$237)</f>
        <v>-9.70287061789941E-005</v>
      </c>
      <c r="AE27" s="11" t="n">
        <f aca="false">(AD27-$I$2)/SQRT(AC27)</f>
        <v>-0.0327404328102383</v>
      </c>
      <c r="AF27" s="7" t="n">
        <f aca="false">AD27</f>
        <v>-9.70287061789941E-005</v>
      </c>
      <c r="AG27" s="7" t="n">
        <f aca="false">AC27</f>
        <v>0.000242801460911472</v>
      </c>
      <c r="AH27" s="10" t="n">
        <f aca="false">X27</f>
        <v>0.313304721030043</v>
      </c>
      <c r="AI27" s="10" t="n">
        <f aca="false">Y27</f>
        <v>0.390557939914163</v>
      </c>
      <c r="AJ27" s="10" t="n">
        <f aca="false">Z27</f>
        <v>0.175965665236051</v>
      </c>
      <c r="AK27" s="10" t="n">
        <f aca="false">AA27</f>
        <v>0.120171673819743</v>
      </c>
      <c r="AM27" s="20"/>
      <c r="AN27" s="20"/>
      <c r="AO27" s="20"/>
      <c r="AP27" s="20"/>
      <c r="AQ27" s="20"/>
      <c r="AR27" s="20"/>
      <c r="AS27" s="20"/>
      <c r="AT27" s="20"/>
    </row>
    <row r="28" customFormat="false" ht="15" hidden="false" customHeight="true" outlineLevel="0" collapsed="false">
      <c r="A28" s="5" t="n">
        <f aca="false">aci!H29</f>
        <v>153.1</v>
      </c>
      <c r="B28" s="5" t="n">
        <f aca="false">apexfoot!H29</f>
        <v>201.2</v>
      </c>
      <c r="C28" s="5" t="n">
        <f aca="false">bxpharma!H29</f>
        <v>77.8</v>
      </c>
      <c r="D28" s="5" t="n">
        <f aca="false">batbc!H29</f>
        <v>345.8</v>
      </c>
      <c r="E28" s="7" t="n">
        <f aca="false">LN(A27/A28)</f>
        <v>0.0136233050854802</v>
      </c>
      <c r="F28" s="7" t="n">
        <f aca="false">LN(B27/B28)</f>
        <v>-0.000497141446977757</v>
      </c>
      <c r="G28" s="7" t="n">
        <f aca="false">LN(C27/C28)</f>
        <v>0.00895719360401697</v>
      </c>
      <c r="H28" s="7" t="n">
        <f aca="false">LN(D27/D28)</f>
        <v>-0.000578536319289592</v>
      </c>
      <c r="I28" s="7" t="n">
        <f aca="false">E28-$I$2</f>
        <v>0.0132101694922598</v>
      </c>
      <c r="J28" s="7" t="n">
        <f aca="false">F28-$J$2</f>
        <v>-0.000910277040198096</v>
      </c>
      <c r="K28" s="7" t="n">
        <f aca="false">G28-$K$2</f>
        <v>0.00854405801079663</v>
      </c>
      <c r="L28" s="7" t="n">
        <f aca="false">H28-$L$2</f>
        <v>-0.000991671912509931</v>
      </c>
      <c r="S28" s="9" t="n">
        <v>0.25</v>
      </c>
      <c r="T28" s="9" t="n">
        <v>0.71</v>
      </c>
      <c r="U28" s="9" t="n">
        <v>0.63</v>
      </c>
      <c r="V28" s="9" t="n">
        <v>0.23</v>
      </c>
      <c r="W28" s="5" t="n">
        <f aca="false">SUM(S28:V28)</f>
        <v>1.82</v>
      </c>
      <c r="X28" s="10" t="n">
        <f aca="false">S28/$W28</f>
        <v>0.137362637362637</v>
      </c>
      <c r="Y28" s="10" t="n">
        <f aca="false">T28/$W28</f>
        <v>0.39010989010989</v>
      </c>
      <c r="Z28" s="10" t="n">
        <f aca="false">U28/$W28</f>
        <v>0.346153846153846</v>
      </c>
      <c r="AA28" s="10" t="n">
        <f aca="false">V28/$W28</f>
        <v>0.126373626373626</v>
      </c>
      <c r="AB28" s="10" t="n">
        <f aca="false">SUM(X28:AA28)</f>
        <v>1</v>
      </c>
      <c r="AC28" s="7" t="n">
        <f aca="false" t="array" ref="AC28:AC28">MMULT(MMULT(X28:AA28,$N$2:$Q$5),TRANSPOSE(X28:AA28))</f>
        <v>0.000216172748771517</v>
      </c>
      <c r="AD28" s="7" t="n">
        <f aca="false">SUMPRODUCT(X28:AA28,$E$237:$H$237)</f>
        <v>-0.000364774588328965</v>
      </c>
      <c r="AE28" s="11" t="n">
        <f aca="false">(AD28-$I$2)/SQRT(AC28)</f>
        <v>-0.0529089305557914</v>
      </c>
      <c r="AF28" s="7" t="n">
        <f aca="false">AD28</f>
        <v>-0.000364774588328965</v>
      </c>
      <c r="AG28" s="7" t="n">
        <f aca="false">AC28</f>
        <v>0.000216172748771517</v>
      </c>
      <c r="AH28" s="10" t="n">
        <f aca="false">X28</f>
        <v>0.137362637362637</v>
      </c>
      <c r="AI28" s="10" t="n">
        <f aca="false">Y28</f>
        <v>0.39010989010989</v>
      </c>
      <c r="AJ28" s="10" t="n">
        <f aca="false">Z28</f>
        <v>0.346153846153846</v>
      </c>
      <c r="AK28" s="10" t="n">
        <f aca="false">AA28</f>
        <v>0.126373626373626</v>
      </c>
      <c r="AM28" s="21" t="s">
        <v>46</v>
      </c>
      <c r="AN28" s="21"/>
      <c r="AO28" s="21"/>
      <c r="AP28" s="21"/>
      <c r="AQ28" s="21"/>
      <c r="AR28" s="21"/>
      <c r="AS28" s="21"/>
      <c r="AT28" s="21"/>
    </row>
    <row r="29" customFormat="false" ht="15" hidden="false" customHeight="true" outlineLevel="0" collapsed="false">
      <c r="A29" s="5" t="n">
        <f aca="false">aci!H30</f>
        <v>151.9</v>
      </c>
      <c r="B29" s="5" t="n">
        <f aca="false">apexfoot!H30</f>
        <v>202.3</v>
      </c>
      <c r="C29" s="5" t="n">
        <f aca="false">bxpharma!H30</f>
        <v>76.7</v>
      </c>
      <c r="D29" s="5" t="n">
        <f aca="false">batbc!H30</f>
        <v>339</v>
      </c>
      <c r="E29" s="7" t="n">
        <f aca="false">LN(A28/A29)</f>
        <v>0.00786889306191086</v>
      </c>
      <c r="F29" s="7" t="n">
        <f aca="false">LN(B28/B29)</f>
        <v>-0.00545230594811577</v>
      </c>
      <c r="G29" s="7" t="n">
        <f aca="false">LN(C28/C29)</f>
        <v>0.0142397228111354</v>
      </c>
      <c r="H29" s="7" t="n">
        <f aca="false">LN(D28/D29)</f>
        <v>0.0198604658687398</v>
      </c>
      <c r="I29" s="7" t="n">
        <f aca="false">E29-$I$2</f>
        <v>0.00745575746869052</v>
      </c>
      <c r="J29" s="7" t="n">
        <f aca="false">F29-$J$2</f>
        <v>-0.00586544154133611</v>
      </c>
      <c r="K29" s="7" t="n">
        <f aca="false">G29-$K$2</f>
        <v>0.0138265872179151</v>
      </c>
      <c r="L29" s="7" t="n">
        <f aca="false">H29-$L$2</f>
        <v>0.0194473302755195</v>
      </c>
      <c r="S29" s="9" t="n">
        <v>0.15</v>
      </c>
      <c r="T29" s="9" t="n">
        <v>0.29</v>
      </c>
      <c r="U29" s="9" t="n">
        <v>0.68</v>
      </c>
      <c r="V29" s="9" t="n">
        <v>0.94</v>
      </c>
      <c r="W29" s="5" t="n">
        <f aca="false">SUM(S29:V29)</f>
        <v>2.06</v>
      </c>
      <c r="X29" s="10" t="n">
        <f aca="false">S29/$W29</f>
        <v>0.0728155339805825</v>
      </c>
      <c r="Y29" s="10" t="n">
        <f aca="false">T29/$W29</f>
        <v>0.140776699029126</v>
      </c>
      <c r="Z29" s="10" t="n">
        <f aca="false">U29/$W29</f>
        <v>0.330097087378641</v>
      </c>
      <c r="AA29" s="10" t="n">
        <f aca="false">V29/$W29</f>
        <v>0.45631067961165</v>
      </c>
      <c r="AB29" s="10" t="n">
        <f aca="false">SUM(X29:AA29)</f>
        <v>1</v>
      </c>
      <c r="AC29" s="7" t="n">
        <f aca="false" t="array" ref="AC29:AC29">MMULT(MMULT(X29:AA29,$N$2:$Q$5),TRANSPOSE(X29:AA29))</f>
        <v>0.00021659274417817</v>
      </c>
      <c r="AD29" s="7" t="n">
        <f aca="false">SUMPRODUCT(X29:AA29,$E$237:$H$237)</f>
        <v>-0.000594998381425933</v>
      </c>
      <c r="AE29" s="11" t="n">
        <f aca="false">(AD29-$I$2)/SQRT(AC29)</f>
        <v>-0.068500903400507</v>
      </c>
      <c r="AF29" s="7" t="n">
        <f aca="false">AD29</f>
        <v>-0.000594998381425933</v>
      </c>
      <c r="AG29" s="7" t="n">
        <f aca="false">AC29</f>
        <v>0.00021659274417817</v>
      </c>
      <c r="AH29" s="10" t="n">
        <f aca="false">X29</f>
        <v>0.0728155339805825</v>
      </c>
      <c r="AI29" s="10" t="n">
        <f aca="false">Y29</f>
        <v>0.140776699029126</v>
      </c>
      <c r="AJ29" s="10" t="n">
        <f aca="false">Z29</f>
        <v>0.330097087378641</v>
      </c>
      <c r="AK29" s="10" t="n">
        <f aca="false">AA29</f>
        <v>0.45631067961165</v>
      </c>
      <c r="AM29" s="21" t="s">
        <v>47</v>
      </c>
      <c r="AN29" s="21"/>
      <c r="AO29" s="21"/>
      <c r="AP29" s="21"/>
      <c r="AQ29" s="21"/>
      <c r="AR29" s="21"/>
      <c r="AS29" s="21"/>
      <c r="AT29" s="21"/>
    </row>
    <row r="30" customFormat="false" ht="15" hidden="false" customHeight="true" outlineLevel="0" collapsed="false">
      <c r="A30" s="5" t="n">
        <f aca="false">aci!H31</f>
        <v>152.8</v>
      </c>
      <c r="B30" s="5" t="n">
        <f aca="false">apexfoot!H31</f>
        <v>201.2</v>
      </c>
      <c r="C30" s="5" t="n">
        <f aca="false">bxpharma!H31</f>
        <v>76.6</v>
      </c>
      <c r="D30" s="5" t="n">
        <f aca="false">batbc!H31</f>
        <v>341.3</v>
      </c>
      <c r="E30" s="7" t="n">
        <f aca="false">LN(A29/A30)</f>
        <v>-0.00590746713069303</v>
      </c>
      <c r="F30" s="7" t="n">
        <f aca="false">LN(B29/B30)</f>
        <v>0.00545230594811574</v>
      </c>
      <c r="G30" s="7" t="n">
        <f aca="false">LN(C29/C30)</f>
        <v>0.00130463162666495</v>
      </c>
      <c r="H30" s="7" t="n">
        <f aca="false">LN(D29/D30)</f>
        <v>-0.00676174853221108</v>
      </c>
      <c r="I30" s="7" t="n">
        <f aca="false">E30-$I$2</f>
        <v>-0.00632060272391337</v>
      </c>
      <c r="J30" s="7" t="n">
        <f aca="false">F30-$J$2</f>
        <v>0.0050391703548954</v>
      </c>
      <c r="K30" s="7" t="n">
        <f aca="false">G30-$K$2</f>
        <v>0.00089149603344461</v>
      </c>
      <c r="L30" s="7" t="n">
        <f aca="false">H30-$L$2</f>
        <v>-0.00717488412543142</v>
      </c>
      <c r="S30" s="9" t="n">
        <v>0.55</v>
      </c>
      <c r="T30" s="9" t="n">
        <v>0.57</v>
      </c>
      <c r="U30" s="9" t="n">
        <v>0.85</v>
      </c>
      <c r="V30" s="9" t="n">
        <v>0.01</v>
      </c>
      <c r="W30" s="5" t="n">
        <f aca="false">SUM(S30:V30)</f>
        <v>1.98</v>
      </c>
      <c r="X30" s="10" t="n">
        <f aca="false">S30/$W30</f>
        <v>0.277777777777778</v>
      </c>
      <c r="Y30" s="10" t="n">
        <f aca="false">T30/$W30</f>
        <v>0.287878787878788</v>
      </c>
      <c r="Z30" s="10" t="n">
        <f aca="false">U30/$W30</f>
        <v>0.429292929292929</v>
      </c>
      <c r="AA30" s="10" t="n">
        <f aca="false">V30/$W30</f>
        <v>0.00505050505050505</v>
      </c>
      <c r="AB30" s="10" t="n">
        <f aca="false">SUM(X30:AA30)</f>
        <v>1</v>
      </c>
      <c r="AC30" s="7" t="n">
        <f aca="false" t="array" ref="AC30:AC30">MMULT(MMULT(X30:AA30,$N$2:$Q$5),TRANSPOSE(X30:AA30))</f>
        <v>0.000271480261286281</v>
      </c>
      <c r="AD30" s="7" t="n">
        <f aca="false">SUMPRODUCT(X30:AA30,$E$237:$H$237)</f>
        <v>-5.81867832795995E-005</v>
      </c>
      <c r="AE30" s="11" t="n">
        <f aca="false">(AD30-$I$2)/SQRT(AC30)</f>
        <v>-0.0286054595770696</v>
      </c>
      <c r="AF30" s="7" t="n">
        <f aca="false">AD30</f>
        <v>-5.81867832795995E-005</v>
      </c>
      <c r="AG30" s="7" t="n">
        <f aca="false">AC30</f>
        <v>0.000271480261286281</v>
      </c>
      <c r="AH30" s="10" t="n">
        <f aca="false">X30</f>
        <v>0.277777777777778</v>
      </c>
      <c r="AI30" s="10" t="n">
        <f aca="false">Y30</f>
        <v>0.287878787878788</v>
      </c>
      <c r="AJ30" s="10" t="n">
        <f aca="false">Z30</f>
        <v>0.429292929292929</v>
      </c>
      <c r="AK30" s="10" t="n">
        <f aca="false">AA30</f>
        <v>0.00505050505050505</v>
      </c>
      <c r="AM30" s="21" t="s">
        <v>48</v>
      </c>
      <c r="AN30" s="21"/>
      <c r="AO30" s="21"/>
      <c r="AP30" s="21"/>
      <c r="AQ30" s="21"/>
      <c r="AR30" s="21"/>
      <c r="AS30" s="21"/>
      <c r="AT30" s="21"/>
    </row>
    <row r="31" customFormat="false" ht="15" hidden="false" customHeight="true" outlineLevel="0" collapsed="false">
      <c r="A31" s="5" t="n">
        <f aca="false">aci!H32</f>
        <v>152.9</v>
      </c>
      <c r="B31" s="5" t="n">
        <f aca="false">apexfoot!H32</f>
        <v>202.3</v>
      </c>
      <c r="C31" s="5" t="n">
        <f aca="false">bxpharma!H32</f>
        <v>78</v>
      </c>
      <c r="D31" s="5" t="n">
        <f aca="false">batbc!H32</f>
        <v>344.7</v>
      </c>
      <c r="E31" s="7" t="n">
        <f aca="false">LN(A30/A31)</f>
        <v>-0.000654236202596486</v>
      </c>
      <c r="F31" s="7" t="n">
        <f aca="false">LN(B30/B31)</f>
        <v>-0.00545230594811577</v>
      </c>
      <c r="G31" s="7" t="n">
        <f aca="false">LN(C30/C31)</f>
        <v>-0.0181117499430462</v>
      </c>
      <c r="H31" s="7" t="n">
        <f aca="false">LN(D30/D31)</f>
        <v>-0.00991261761015829</v>
      </c>
      <c r="I31" s="7" t="n">
        <f aca="false">E31-$I$2</f>
        <v>-0.00106737179581682</v>
      </c>
      <c r="J31" s="7" t="n">
        <f aca="false">F31-$J$2</f>
        <v>-0.00586544154133611</v>
      </c>
      <c r="K31" s="7" t="n">
        <f aca="false">G31-$K$2</f>
        <v>-0.0185248855362665</v>
      </c>
      <c r="L31" s="7" t="n">
        <f aca="false">H31-$L$2</f>
        <v>-0.0103257532033786</v>
      </c>
      <c r="S31" s="9" t="n">
        <v>0.26</v>
      </c>
      <c r="T31" s="9" t="n">
        <v>0.74</v>
      </c>
      <c r="U31" s="9" t="n">
        <v>0.59</v>
      </c>
      <c r="V31" s="9" t="n">
        <v>0.72</v>
      </c>
      <c r="W31" s="5" t="n">
        <f aca="false">SUM(S31:V31)</f>
        <v>2.31</v>
      </c>
      <c r="X31" s="10" t="n">
        <f aca="false">S31/$W31</f>
        <v>0.112554112554113</v>
      </c>
      <c r="Y31" s="10" t="n">
        <f aca="false">T31/$W31</f>
        <v>0.32034632034632</v>
      </c>
      <c r="Z31" s="10" t="n">
        <f aca="false">U31/$W31</f>
        <v>0.255411255411255</v>
      </c>
      <c r="AA31" s="10" t="n">
        <f aca="false">V31/$W31</f>
        <v>0.311688311688312</v>
      </c>
      <c r="AB31" s="10" t="n">
        <f aca="false">SUM(X31:AA31)</f>
        <v>1</v>
      </c>
      <c r="AC31" s="7" t="n">
        <f aca="false" t="array" ref="AC31:AC31">MMULT(MMULT(X31:AA31,$N$2:$Q$5),TRANSPOSE(X31:AA31))</f>
        <v>0.00020167860795692</v>
      </c>
      <c r="AD31" s="7" t="n">
        <f aca="false">SUMPRODUCT(X31:AA31,$E$237:$H$237)</f>
        <v>-0.000493823297213179</v>
      </c>
      <c r="AE31" s="11" t="n">
        <f aca="false">(AD31-$I$2)/SQRT(AC31)</f>
        <v>-0.0638642306557724</v>
      </c>
      <c r="AF31" s="7" t="n">
        <f aca="false">AD31</f>
        <v>-0.000493823297213179</v>
      </c>
      <c r="AG31" s="7" t="n">
        <f aca="false">AC31</f>
        <v>0.00020167860795692</v>
      </c>
      <c r="AH31" s="10" t="n">
        <f aca="false">X31</f>
        <v>0.112554112554113</v>
      </c>
      <c r="AI31" s="10" t="n">
        <f aca="false">Y31</f>
        <v>0.32034632034632</v>
      </c>
      <c r="AJ31" s="10" t="n">
        <f aca="false">Z31</f>
        <v>0.255411255411255</v>
      </c>
      <c r="AK31" s="10" t="n">
        <f aca="false">AA31</f>
        <v>0.311688311688312</v>
      </c>
      <c r="AM31" s="20" t="s">
        <v>49</v>
      </c>
      <c r="AN31" s="20"/>
      <c r="AO31" s="20"/>
      <c r="AP31" s="20"/>
      <c r="AQ31" s="20"/>
      <c r="AR31" s="20"/>
      <c r="AS31" s="20"/>
      <c r="AT31" s="20"/>
    </row>
    <row r="32" customFormat="false" ht="15" hidden="false" customHeight="true" outlineLevel="0" collapsed="false">
      <c r="A32" s="5" t="n">
        <f aca="false">aci!H33</f>
        <v>153</v>
      </c>
      <c r="B32" s="5" t="n">
        <f aca="false">apexfoot!H33</f>
        <v>200.9</v>
      </c>
      <c r="C32" s="5" t="n">
        <f aca="false">bxpharma!H33</f>
        <v>77.8</v>
      </c>
      <c r="D32" s="5" t="n">
        <f aca="false">batbc!H33</f>
        <v>346.7</v>
      </c>
      <c r="E32" s="7" t="n">
        <f aca="false">LN(A31/A32)</f>
        <v>-0.000653808457418843</v>
      </c>
      <c r="F32" s="7" t="n">
        <f aca="false">LN(B31/B32)</f>
        <v>0.006944472352811</v>
      </c>
      <c r="G32" s="7" t="n">
        <f aca="false">LN(C31/C32)</f>
        <v>0.00256739550524595</v>
      </c>
      <c r="H32" s="7" t="n">
        <f aca="false">LN(D31/D32)</f>
        <v>-0.00578537916815802</v>
      </c>
      <c r="I32" s="7" t="n">
        <f aca="false">E32-$I$2</f>
        <v>-0.00106694405063918</v>
      </c>
      <c r="J32" s="7" t="n">
        <f aca="false">F32-$J$2</f>
        <v>0.00653133675959066</v>
      </c>
      <c r="K32" s="7" t="n">
        <f aca="false">G32-$K$2</f>
        <v>0.00215425991202562</v>
      </c>
      <c r="L32" s="7" t="n">
        <f aca="false">H32-$L$2</f>
        <v>-0.00619851476137836</v>
      </c>
      <c r="S32" s="9" t="n">
        <v>0.03</v>
      </c>
      <c r="T32" s="9" t="n">
        <v>0.03</v>
      </c>
      <c r="U32" s="9" t="n">
        <v>0.95</v>
      </c>
      <c r="V32" s="9" t="n">
        <v>0.89</v>
      </c>
      <c r="W32" s="5" t="n">
        <f aca="false">SUM(S32:V32)</f>
        <v>1.9</v>
      </c>
      <c r="X32" s="10" t="n">
        <f aca="false">S32/$W32</f>
        <v>0.0157894736842105</v>
      </c>
      <c r="Y32" s="10" t="n">
        <f aca="false">T32/$W32</f>
        <v>0.0157894736842105</v>
      </c>
      <c r="Z32" s="10" t="n">
        <f aca="false">U32/$W32</f>
        <v>0.5</v>
      </c>
      <c r="AA32" s="10" t="n">
        <f aca="false">V32/$W32</f>
        <v>0.468421052631579</v>
      </c>
      <c r="AB32" s="10" t="n">
        <f aca="false">SUM(X32:AA32)</f>
        <v>1</v>
      </c>
      <c r="AC32" s="7" t="n">
        <f aca="false" t="array" ref="AC32:AC32">MMULT(MMULT(X32:AA32,$N$2:$Q$5),TRANSPOSE(X32:AA32))</f>
        <v>0.000257291169121515</v>
      </c>
      <c r="AD32" s="7" t="n">
        <f aca="false">SUMPRODUCT(X32:AA32,$E$237:$H$237)</f>
        <v>-0.000657628363025222</v>
      </c>
      <c r="AE32" s="11" t="n">
        <f aca="false">(AD32-$I$2)/SQRT(AC32)</f>
        <v>-0.0667546162245235</v>
      </c>
      <c r="AF32" s="7" t="n">
        <f aca="false">AD32</f>
        <v>-0.000657628363025222</v>
      </c>
      <c r="AG32" s="7" t="n">
        <f aca="false">AC32</f>
        <v>0.000257291169121515</v>
      </c>
      <c r="AH32" s="10" t="n">
        <f aca="false">X32</f>
        <v>0.0157894736842105</v>
      </c>
      <c r="AI32" s="10" t="n">
        <f aca="false">Y32</f>
        <v>0.0157894736842105</v>
      </c>
      <c r="AJ32" s="10" t="n">
        <f aca="false">Z32</f>
        <v>0.5</v>
      </c>
      <c r="AK32" s="10" t="n">
        <f aca="false">AA32</f>
        <v>0.468421052631579</v>
      </c>
      <c r="AM32" s="20" t="s">
        <v>50</v>
      </c>
      <c r="AN32" s="20"/>
      <c r="AO32" s="20"/>
      <c r="AP32" s="20"/>
      <c r="AQ32" s="20"/>
      <c r="AR32" s="20"/>
      <c r="AS32" s="20"/>
      <c r="AT32" s="20"/>
    </row>
    <row r="33" customFormat="false" ht="15" hidden="false" customHeight="true" outlineLevel="0" collapsed="false">
      <c r="A33" s="5" t="n">
        <f aca="false">aci!H34</f>
        <v>152.6</v>
      </c>
      <c r="B33" s="5" t="n">
        <f aca="false">apexfoot!H34</f>
        <v>201.9</v>
      </c>
      <c r="C33" s="5" t="n">
        <f aca="false">bxpharma!H34</f>
        <v>76.5</v>
      </c>
      <c r="D33" s="5" t="n">
        <f aca="false">batbc!H34</f>
        <v>346.7</v>
      </c>
      <c r="E33" s="7" t="n">
        <f aca="false">LN(A32/A33)</f>
        <v>0.00261780254207888</v>
      </c>
      <c r="F33" s="7" t="n">
        <f aca="false">LN(B32/B33)</f>
        <v>-0.00496525349790306</v>
      </c>
      <c r="G33" s="7" t="n">
        <f aca="false">LN(C32/C33)</f>
        <v>0.0168506903518557</v>
      </c>
      <c r="H33" s="7" t="n">
        <f aca="false">LN(D32/D33)</f>
        <v>0</v>
      </c>
      <c r="I33" s="7" t="n">
        <f aca="false">E33-$I$2</f>
        <v>0.00220466694885854</v>
      </c>
      <c r="J33" s="7" t="n">
        <f aca="false">F33-$J$2</f>
        <v>-0.0053783890911234</v>
      </c>
      <c r="K33" s="7" t="n">
        <f aca="false">G33-$K$2</f>
        <v>0.0164375547586354</v>
      </c>
      <c r="L33" s="7" t="n">
        <f aca="false">H33-$L$2</f>
        <v>-0.000413135593220339</v>
      </c>
      <c r="S33" s="9" t="n">
        <v>0.09</v>
      </c>
      <c r="T33" s="9" t="n">
        <v>0.29</v>
      </c>
      <c r="U33" s="9" t="n">
        <v>0.49</v>
      </c>
      <c r="V33" s="9" t="n">
        <v>0.09</v>
      </c>
      <c r="W33" s="5" t="n">
        <f aca="false">SUM(S33:V33)</f>
        <v>0.96</v>
      </c>
      <c r="X33" s="10" t="n">
        <f aca="false">S33/$W33</f>
        <v>0.09375</v>
      </c>
      <c r="Y33" s="10" t="n">
        <f aca="false">T33/$W33</f>
        <v>0.302083333333333</v>
      </c>
      <c r="Z33" s="10" t="n">
        <f aca="false">U33/$W33</f>
        <v>0.510416666666667</v>
      </c>
      <c r="AA33" s="10" t="n">
        <f aca="false">V33/$W33</f>
        <v>0.09375</v>
      </c>
      <c r="AB33" s="10" t="n">
        <f aca="false">SUM(X33:AA33)</f>
        <v>1</v>
      </c>
      <c r="AC33" s="7" t="n">
        <f aca="false" t="array" ref="AC33:AC33">MMULT(MMULT(X33:AA33,$N$2:$Q$5),TRANSPOSE(X33:AA33))</f>
        <v>0.000252252471426494</v>
      </c>
      <c r="AD33" s="7" t="n">
        <f aca="false">SUMPRODUCT(X33:AA33,$E$237:$H$237)</f>
        <v>-0.000389949049614159</v>
      </c>
      <c r="AE33" s="11" t="n">
        <f aca="false">(AD33-$I$2)/SQRT(AC33)</f>
        <v>-0.0505642542194192</v>
      </c>
      <c r="AF33" s="7" t="n">
        <f aca="false">AD33</f>
        <v>-0.000389949049614159</v>
      </c>
      <c r="AG33" s="7" t="n">
        <f aca="false">AC33</f>
        <v>0.000252252471426494</v>
      </c>
      <c r="AH33" s="10" t="n">
        <f aca="false">X33</f>
        <v>0.09375</v>
      </c>
      <c r="AI33" s="10" t="n">
        <f aca="false">Y33</f>
        <v>0.302083333333333</v>
      </c>
      <c r="AJ33" s="10" t="n">
        <f aca="false">Z33</f>
        <v>0.510416666666667</v>
      </c>
      <c r="AK33" s="10" t="n">
        <f aca="false">AA33</f>
        <v>0.09375</v>
      </c>
      <c r="AM33" s="20" t="s">
        <v>51</v>
      </c>
      <c r="AN33" s="20"/>
      <c r="AO33" s="20"/>
      <c r="AP33" s="20"/>
      <c r="AQ33" s="20"/>
      <c r="AR33" s="20"/>
      <c r="AS33" s="20"/>
      <c r="AT33" s="20"/>
    </row>
    <row r="34" customFormat="false" ht="15" hidden="false" customHeight="true" outlineLevel="0" collapsed="false">
      <c r="A34" s="5" t="n">
        <f aca="false">aci!H35</f>
        <v>153.3</v>
      </c>
      <c r="B34" s="5" t="n">
        <f aca="false">apexfoot!H35</f>
        <v>200.7</v>
      </c>
      <c r="C34" s="5" t="n">
        <f aca="false">bxpharma!H35</f>
        <v>76.4</v>
      </c>
      <c r="D34" s="5" t="n">
        <f aca="false">batbc!H35</f>
        <v>348.7</v>
      </c>
      <c r="E34" s="7" t="n">
        <f aca="false">LN(A33/A34)</f>
        <v>-0.00457666702741198</v>
      </c>
      <c r="F34" s="7" t="n">
        <f aca="false">LN(B33/B34)</f>
        <v>0.00596126951649945</v>
      </c>
      <c r="G34" s="7" t="n">
        <f aca="false">LN(C33/C34)</f>
        <v>0.00130804466001517</v>
      </c>
      <c r="H34" s="7" t="n">
        <f aca="false">LN(D33/D34)</f>
        <v>-0.00575210099062773</v>
      </c>
      <c r="I34" s="7" t="n">
        <f aca="false">E34-$I$2</f>
        <v>-0.00498980262063232</v>
      </c>
      <c r="J34" s="7" t="n">
        <f aca="false">F34-$J$2</f>
        <v>0.00554813392327911</v>
      </c>
      <c r="K34" s="7" t="n">
        <f aca="false">G34-$K$2</f>
        <v>0.000894909066794828</v>
      </c>
      <c r="L34" s="7" t="n">
        <f aca="false">H34-$L$2</f>
        <v>-0.00616523658384807</v>
      </c>
      <c r="S34" s="9" t="n">
        <v>0.36</v>
      </c>
      <c r="T34" s="9" t="n">
        <v>0.15</v>
      </c>
      <c r="U34" s="9" t="n">
        <v>0.48</v>
      </c>
      <c r="V34" s="9" t="n">
        <v>0.47</v>
      </c>
      <c r="W34" s="5" t="n">
        <f aca="false">SUM(S34:V34)</f>
        <v>1.46</v>
      </c>
      <c r="X34" s="10" t="n">
        <f aca="false">S34/$W34</f>
        <v>0.246575342465753</v>
      </c>
      <c r="Y34" s="10" t="n">
        <f aca="false">T34/$W34</f>
        <v>0.102739726027397</v>
      </c>
      <c r="Z34" s="10" t="n">
        <f aca="false">U34/$W34</f>
        <v>0.328767123287671</v>
      </c>
      <c r="AA34" s="10" t="n">
        <f aca="false">V34/$W34</f>
        <v>0.321917808219178</v>
      </c>
      <c r="AB34" s="10" t="n">
        <f aca="false">SUM(X34:AA34)</f>
        <v>1</v>
      </c>
      <c r="AC34" s="7" t="n">
        <f aca="false" t="array" ref="AC34:AC34">MMULT(MMULT(X34:AA34,$N$2:$Q$5),TRANSPOSE(X34:AA34))</f>
        <v>0.000250929593643609</v>
      </c>
      <c r="AD34" s="7" t="n">
        <f aca="false">SUMPRODUCT(X34:AA34,$E$237:$H$237)</f>
        <v>-0.000246138704634449</v>
      </c>
      <c r="AE34" s="11" t="n">
        <f aca="false">(AD34-$I$2)/SQRT(AC34)</f>
        <v>-0.0416188622170338</v>
      </c>
      <c r="AF34" s="7" t="n">
        <f aca="false">AD34</f>
        <v>-0.000246138704634449</v>
      </c>
      <c r="AG34" s="7" t="n">
        <f aca="false">AC34</f>
        <v>0.000250929593643609</v>
      </c>
      <c r="AH34" s="10" t="n">
        <f aca="false">X34</f>
        <v>0.246575342465753</v>
      </c>
      <c r="AI34" s="10" t="n">
        <f aca="false">Y34</f>
        <v>0.102739726027397</v>
      </c>
      <c r="AJ34" s="10" t="n">
        <f aca="false">Z34</f>
        <v>0.328767123287671</v>
      </c>
      <c r="AK34" s="10" t="n">
        <f aca="false">AA34</f>
        <v>0.321917808219178</v>
      </c>
      <c r="AM34" s="20" t="s">
        <v>52</v>
      </c>
      <c r="AN34" s="20"/>
      <c r="AO34" s="20"/>
      <c r="AP34" s="20"/>
      <c r="AQ34" s="20"/>
      <c r="AR34" s="20"/>
      <c r="AS34" s="20"/>
      <c r="AT34" s="20"/>
    </row>
    <row r="35" customFormat="false" ht="15" hidden="false" customHeight="true" outlineLevel="0" collapsed="false">
      <c r="A35" s="5" t="n">
        <f aca="false">aci!H36</f>
        <v>153.9</v>
      </c>
      <c r="B35" s="5" t="n">
        <f aca="false">apexfoot!H36</f>
        <v>201.6</v>
      </c>
      <c r="C35" s="5" t="n">
        <f aca="false">bxpharma!H36</f>
        <v>76.6</v>
      </c>
      <c r="D35" s="5" t="n">
        <f aca="false">batbc!H36</f>
        <v>346.8</v>
      </c>
      <c r="E35" s="7" t="n">
        <f aca="false">LN(A34/A35)</f>
        <v>-0.0039062549670651</v>
      </c>
      <c r="F35" s="7" t="n">
        <f aca="false">LN(B34/B35)</f>
        <v>-0.00447428039492108</v>
      </c>
      <c r="G35" s="7" t="n">
        <f aca="false">LN(C34/C35)</f>
        <v>-0.00261438057407071</v>
      </c>
      <c r="H35" s="7" t="n">
        <f aca="false">LN(D34/D35)</f>
        <v>0.00546370877521864</v>
      </c>
      <c r="I35" s="7" t="n">
        <f aca="false">E35-$I$2</f>
        <v>-0.00431939056028544</v>
      </c>
      <c r="J35" s="7" t="n">
        <f aca="false">F35-$J$2</f>
        <v>-0.00488741598814142</v>
      </c>
      <c r="K35" s="7" t="n">
        <f aca="false">G35-$K$2</f>
        <v>-0.00302751616729105</v>
      </c>
      <c r="L35" s="7" t="n">
        <f aca="false">H35-$L$2</f>
        <v>0.0050505731819983</v>
      </c>
      <c r="S35" s="9" t="n">
        <v>0.34</v>
      </c>
      <c r="T35" s="9" t="n">
        <v>0.02</v>
      </c>
      <c r="U35" s="9" t="n">
        <v>0.85</v>
      </c>
      <c r="V35" s="9" t="n">
        <v>0.39</v>
      </c>
      <c r="W35" s="5" t="n">
        <f aca="false">SUM(S35:V35)</f>
        <v>1.6</v>
      </c>
      <c r="X35" s="10" t="n">
        <f aca="false">S35/$W35</f>
        <v>0.2125</v>
      </c>
      <c r="Y35" s="10" t="n">
        <f aca="false">T35/$W35</f>
        <v>0.0125</v>
      </c>
      <c r="Z35" s="10" t="n">
        <f aca="false">U35/$W35</f>
        <v>0.53125</v>
      </c>
      <c r="AA35" s="10" t="n">
        <f aca="false">V35/$W35</f>
        <v>0.24375</v>
      </c>
      <c r="AB35" s="10" t="n">
        <f aca="false">SUM(X35:AA35)</f>
        <v>1</v>
      </c>
      <c r="AC35" s="7" t="n">
        <f aca="false" t="array" ref="AC35:AC35">MMULT(MMULT(X35:AA35,$N$2:$Q$5),TRANSPOSE(X35:AA35))</f>
        <v>0.000300486362503706</v>
      </c>
      <c r="AD35" s="7" t="n">
        <f aca="false">SUMPRODUCT(X35:AA35,$E$237:$H$237)</f>
        <v>-0.000229768159828067</v>
      </c>
      <c r="AE35" s="11" t="n">
        <f aca="false">(AD35-$I$2)/SQRT(AC35)</f>
        <v>-0.0370880139646823</v>
      </c>
      <c r="AF35" s="7" t="n">
        <f aca="false">AD35</f>
        <v>-0.000229768159828067</v>
      </c>
      <c r="AG35" s="7" t="n">
        <f aca="false">AC35</f>
        <v>0.000300486362503706</v>
      </c>
      <c r="AH35" s="10" t="n">
        <f aca="false">X35</f>
        <v>0.2125</v>
      </c>
      <c r="AI35" s="10" t="n">
        <f aca="false">Y35</f>
        <v>0.0125</v>
      </c>
      <c r="AJ35" s="10" t="n">
        <f aca="false">Z35</f>
        <v>0.53125</v>
      </c>
      <c r="AK35" s="10" t="n">
        <f aca="false">AA35</f>
        <v>0.24375</v>
      </c>
      <c r="AM35" s="20" t="s">
        <v>53</v>
      </c>
      <c r="AN35" s="20"/>
      <c r="AO35" s="20"/>
      <c r="AP35" s="20"/>
      <c r="AQ35" s="20"/>
      <c r="AR35" s="20"/>
      <c r="AS35" s="20"/>
      <c r="AT35" s="20"/>
    </row>
    <row r="36" customFormat="false" ht="15" hidden="false" customHeight="true" outlineLevel="0" collapsed="false">
      <c r="A36" s="5" t="n">
        <f aca="false">aci!H37</f>
        <v>153.4</v>
      </c>
      <c r="B36" s="5" t="n">
        <f aca="false">apexfoot!H37</f>
        <v>203.2</v>
      </c>
      <c r="C36" s="5" t="n">
        <f aca="false">bxpharma!H37</f>
        <v>76.6</v>
      </c>
      <c r="D36" s="5" t="n">
        <f aca="false">batbc!H37</f>
        <v>346.9</v>
      </c>
      <c r="E36" s="7" t="n">
        <f aca="false">LN(A35/A36)</f>
        <v>0.00325415191167782</v>
      </c>
      <c r="F36" s="7" t="n">
        <f aca="false">LN(B35/B36)</f>
        <v>-0.00790517950711326</v>
      </c>
      <c r="G36" s="7" t="n">
        <f aca="false">LN(C35/C36)</f>
        <v>0</v>
      </c>
      <c r="H36" s="7" t="n">
        <f aca="false">LN(D35/D36)</f>
        <v>-0.000288309069317175</v>
      </c>
      <c r="I36" s="7" t="n">
        <f aca="false">E36-$I$2</f>
        <v>0.00284101631845748</v>
      </c>
      <c r="J36" s="7" t="n">
        <f aca="false">F36-$J$2</f>
        <v>-0.0083183151003336</v>
      </c>
      <c r="K36" s="7" t="n">
        <f aca="false">G36-$K$2</f>
        <v>-0.000413135593220339</v>
      </c>
      <c r="L36" s="7" t="n">
        <f aca="false">H36-$L$2</f>
        <v>-0.000701444662537514</v>
      </c>
      <c r="S36" s="9" t="n">
        <v>0.07</v>
      </c>
      <c r="T36" s="9" t="n">
        <v>0.67</v>
      </c>
      <c r="U36" s="9" t="n">
        <v>0.88</v>
      </c>
      <c r="V36" s="9" t="n">
        <v>0.87</v>
      </c>
      <c r="W36" s="5" t="n">
        <f aca="false">SUM(S36:V36)</f>
        <v>2.49</v>
      </c>
      <c r="X36" s="10" t="n">
        <f aca="false">S36/$W36</f>
        <v>0.0281124497991968</v>
      </c>
      <c r="Y36" s="10" t="n">
        <f aca="false">T36/$W36</f>
        <v>0.269076305220884</v>
      </c>
      <c r="Z36" s="10" t="n">
        <f aca="false">U36/$W36</f>
        <v>0.353413654618474</v>
      </c>
      <c r="AA36" s="10" t="n">
        <f aca="false">V36/$W36</f>
        <v>0.349397590361446</v>
      </c>
      <c r="AB36" s="10" t="n">
        <f aca="false">SUM(X36:AA36)</f>
        <v>1</v>
      </c>
      <c r="AC36" s="7" t="n">
        <f aca="false" t="array" ref="AC36:AC36">MMULT(MMULT(X36:AA36,$N$2:$Q$5),TRANSPOSE(X36:AA36))</f>
        <v>0.000203896090646717</v>
      </c>
      <c r="AD36" s="7" t="n">
        <f aca="false">SUMPRODUCT(X36:AA36,$E$237:$H$237)</f>
        <v>-0.000630381618269928</v>
      </c>
      <c r="AE36" s="11" t="n">
        <f aca="false">(AD36-$I$2)/SQRT(AC36)</f>
        <v>-0.0730794326545247</v>
      </c>
      <c r="AF36" s="7" t="n">
        <f aca="false">AD36</f>
        <v>-0.000630381618269928</v>
      </c>
      <c r="AG36" s="7" t="n">
        <f aca="false">AC36</f>
        <v>0.000203896090646717</v>
      </c>
      <c r="AH36" s="10" t="n">
        <f aca="false">X36</f>
        <v>0.0281124497991968</v>
      </c>
      <c r="AI36" s="10" t="n">
        <f aca="false">Y36</f>
        <v>0.269076305220884</v>
      </c>
      <c r="AJ36" s="10" t="n">
        <f aca="false">Z36</f>
        <v>0.353413654618474</v>
      </c>
      <c r="AK36" s="10" t="n">
        <f aca="false">AA36</f>
        <v>0.349397590361446</v>
      </c>
      <c r="AM36" s="20" t="s">
        <v>54</v>
      </c>
      <c r="AN36" s="20"/>
      <c r="AO36" s="20"/>
      <c r="AP36" s="20"/>
      <c r="AQ36" s="20"/>
      <c r="AR36" s="20"/>
      <c r="AS36" s="20"/>
      <c r="AT36" s="20"/>
    </row>
    <row r="37" customFormat="false" ht="15" hidden="false" customHeight="true" outlineLevel="0" collapsed="false">
      <c r="A37" s="5" t="n">
        <f aca="false">aci!H38</f>
        <v>151.6</v>
      </c>
      <c r="B37" s="5" t="n">
        <f aca="false">apexfoot!H38</f>
        <v>200.6</v>
      </c>
      <c r="C37" s="5" t="n">
        <f aca="false">bxpharma!H38</f>
        <v>76.2</v>
      </c>
      <c r="D37" s="5" t="n">
        <f aca="false">batbc!H38</f>
        <v>349.3</v>
      </c>
      <c r="E37" s="7" t="n">
        <f aca="false">LN(A36/A37)</f>
        <v>0.0118034157248846</v>
      </c>
      <c r="F37" s="7" t="n">
        <f aca="false">LN(B36/B37)</f>
        <v>0.0128778401764917</v>
      </c>
      <c r="G37" s="7" t="n">
        <f aca="false">LN(C36/C37)</f>
        <v>0.00523561405394494</v>
      </c>
      <c r="H37" s="7" t="n">
        <f aca="false">LN(D36/D37)</f>
        <v>-0.00689459783708235</v>
      </c>
      <c r="I37" s="7" t="n">
        <f aca="false">E37-$I$2</f>
        <v>0.0113902801316643</v>
      </c>
      <c r="J37" s="7" t="n">
        <f aca="false">F37-$J$2</f>
        <v>0.0124647045832713</v>
      </c>
      <c r="K37" s="7" t="n">
        <f aca="false">G37-$K$2</f>
        <v>0.0048224784607246</v>
      </c>
      <c r="L37" s="7" t="n">
        <f aca="false">H37-$L$2</f>
        <v>-0.00730773343030269</v>
      </c>
      <c r="S37" s="9" t="n">
        <v>0.52</v>
      </c>
      <c r="T37" s="9" t="n">
        <v>0.91</v>
      </c>
      <c r="U37" s="9" t="n">
        <v>0.88</v>
      </c>
      <c r="V37" s="9" t="n">
        <v>0.48</v>
      </c>
      <c r="W37" s="5" t="n">
        <f aca="false">SUM(S37:V37)</f>
        <v>2.79</v>
      </c>
      <c r="X37" s="10" t="n">
        <f aca="false">S37/$W37</f>
        <v>0.186379928315412</v>
      </c>
      <c r="Y37" s="10" t="n">
        <f aca="false">T37/$W37</f>
        <v>0.326164874551971</v>
      </c>
      <c r="Z37" s="10" t="n">
        <f aca="false">U37/$W37</f>
        <v>0.315412186379928</v>
      </c>
      <c r="AA37" s="10" t="n">
        <f aca="false">V37/$W37</f>
        <v>0.172043010752688</v>
      </c>
      <c r="AB37" s="10" t="n">
        <f aca="false">SUM(X37:AA37)</f>
        <v>1</v>
      </c>
      <c r="AC37" s="7" t="n">
        <f aca="false" t="array" ref="AC37:AC37">MMULT(MMULT(X37:AA37,$N$2:$Q$5),TRANSPOSE(X37:AA37))</f>
        <v>0.000218867563320901</v>
      </c>
      <c r="AD37" s="7" t="n">
        <f aca="false">SUMPRODUCT(X37:AA37,$E$237:$H$237)</f>
        <v>-0.000302523895121924</v>
      </c>
      <c r="AE37" s="11" t="n">
        <f aca="false">(AD37-$I$2)/SQRT(AC37)</f>
        <v>-0.0483744156794703</v>
      </c>
      <c r="AF37" s="7" t="n">
        <f aca="false">AD37</f>
        <v>-0.000302523895121924</v>
      </c>
      <c r="AG37" s="7" t="n">
        <f aca="false">AC37</f>
        <v>0.000218867563320901</v>
      </c>
      <c r="AH37" s="10" t="n">
        <f aca="false">X37</f>
        <v>0.186379928315412</v>
      </c>
      <c r="AI37" s="10" t="n">
        <f aca="false">Y37</f>
        <v>0.326164874551971</v>
      </c>
      <c r="AJ37" s="10" t="n">
        <f aca="false">Z37</f>
        <v>0.315412186379928</v>
      </c>
      <c r="AK37" s="10" t="n">
        <f aca="false">AA37</f>
        <v>0.172043010752688</v>
      </c>
      <c r="AM37" s="20" t="s">
        <v>55</v>
      </c>
      <c r="AN37" s="20"/>
      <c r="AO37" s="20"/>
      <c r="AP37" s="20"/>
      <c r="AQ37" s="20"/>
      <c r="AR37" s="20"/>
      <c r="AS37" s="20"/>
      <c r="AT37" s="20"/>
    </row>
    <row r="38" customFormat="false" ht="15" hidden="false" customHeight="true" outlineLevel="0" collapsed="false">
      <c r="A38" s="5" t="n">
        <f aca="false">aci!H39</f>
        <v>149.7</v>
      </c>
      <c r="B38" s="5" t="n">
        <f aca="false">apexfoot!H39</f>
        <v>199.2</v>
      </c>
      <c r="C38" s="5" t="n">
        <f aca="false">bxpharma!H39</f>
        <v>77.2</v>
      </c>
      <c r="D38" s="5" t="n">
        <f aca="false">batbc!H39</f>
        <v>350.9</v>
      </c>
      <c r="E38" s="7" t="n">
        <f aca="false">LN(A37/A38)</f>
        <v>0.0126121817826887</v>
      </c>
      <c r="F38" s="7" t="n">
        <f aca="false">LN(B37/B38)</f>
        <v>0.00700353037733738</v>
      </c>
      <c r="G38" s="7" t="n">
        <f aca="false">LN(C37/C38)</f>
        <v>-0.0130379943381299</v>
      </c>
      <c r="H38" s="7" t="n">
        <f aca="false">LN(D37/D38)</f>
        <v>-0.00457013077638301</v>
      </c>
      <c r="I38" s="7" t="n">
        <f aca="false">E38-$I$2</f>
        <v>0.0121990461894683</v>
      </c>
      <c r="J38" s="7" t="n">
        <f aca="false">F38-$J$2</f>
        <v>0.00659039478411705</v>
      </c>
      <c r="K38" s="7" t="n">
        <f aca="false">G38-$K$2</f>
        <v>-0.0134511299313503</v>
      </c>
      <c r="L38" s="7" t="n">
        <f aca="false">H38-$L$2</f>
        <v>-0.00498326636960335</v>
      </c>
      <c r="S38" s="9" t="n">
        <v>0.53</v>
      </c>
      <c r="T38" s="9" t="n">
        <v>0.54</v>
      </c>
      <c r="U38" s="9" t="n">
        <v>0.08</v>
      </c>
      <c r="V38" s="9" t="n">
        <v>0.67</v>
      </c>
      <c r="W38" s="5" t="n">
        <f aca="false">SUM(S38:V38)</f>
        <v>1.82</v>
      </c>
      <c r="X38" s="10" t="n">
        <f aca="false">S38/$W38</f>
        <v>0.291208791208791</v>
      </c>
      <c r="Y38" s="10" t="n">
        <f aca="false">T38/$W38</f>
        <v>0.296703296703297</v>
      </c>
      <c r="Z38" s="10" t="n">
        <f aca="false">U38/$W38</f>
        <v>0.043956043956044</v>
      </c>
      <c r="AA38" s="10" t="n">
        <f aca="false">V38/$W38</f>
        <v>0.368131868131868</v>
      </c>
      <c r="AB38" s="10" t="n">
        <f aca="false">SUM(X38:AA38)</f>
        <v>1</v>
      </c>
      <c r="AC38" s="7" t="n">
        <f aca="false" t="array" ref="AC38:AC38">MMULT(MMULT(X38:AA38,$N$2:$Q$5),TRANSPOSE(X38:AA38))</f>
        <v>0.000257040963315027</v>
      </c>
      <c r="AD38" s="7" t="n">
        <f aca="false">SUMPRODUCT(X38:AA38,$E$237:$H$237)</f>
        <v>-0.000252912025726383</v>
      </c>
      <c r="AE38" s="11" t="n">
        <f aca="false">(AD38-$I$2)/SQRT(AC38)</f>
        <v>-0.0415435982756163</v>
      </c>
      <c r="AF38" s="7" t="n">
        <f aca="false">AD38</f>
        <v>-0.000252912025726383</v>
      </c>
      <c r="AG38" s="7" t="n">
        <f aca="false">AC38</f>
        <v>0.000257040963315027</v>
      </c>
      <c r="AH38" s="10" t="n">
        <f aca="false">X38</f>
        <v>0.291208791208791</v>
      </c>
      <c r="AI38" s="10" t="n">
        <f aca="false">Y38</f>
        <v>0.296703296703297</v>
      </c>
      <c r="AJ38" s="10" t="n">
        <f aca="false">Z38</f>
        <v>0.043956043956044</v>
      </c>
      <c r="AK38" s="10" t="n">
        <f aca="false">AA38</f>
        <v>0.368131868131868</v>
      </c>
      <c r="AM38" s="20" t="s">
        <v>56</v>
      </c>
      <c r="AN38" s="20"/>
      <c r="AO38" s="20"/>
      <c r="AP38" s="20"/>
      <c r="AQ38" s="20"/>
      <c r="AR38" s="20"/>
      <c r="AS38" s="20"/>
      <c r="AT38" s="20"/>
    </row>
    <row r="39" customFormat="false" ht="15" hidden="false" customHeight="true" outlineLevel="0" collapsed="false">
      <c r="A39" s="5" t="n">
        <f aca="false">aci!H40</f>
        <v>147.7</v>
      </c>
      <c r="B39" s="5" t="n">
        <f aca="false">apexfoot!H40</f>
        <v>199.6</v>
      </c>
      <c r="C39" s="5" t="n">
        <f aca="false">bxpharma!H40</f>
        <v>77.1</v>
      </c>
      <c r="D39" s="5" t="n">
        <f aca="false">batbc!H40</f>
        <v>350.1</v>
      </c>
      <c r="E39" s="7" t="n">
        <f aca="false">LN(A38/A39)</f>
        <v>0.0134501018882486</v>
      </c>
      <c r="F39" s="7" t="n">
        <f aca="false">LN(B38/B39)</f>
        <v>-0.00200601872686574</v>
      </c>
      <c r="G39" s="7" t="n">
        <f aca="false">LN(C38/C39)</f>
        <v>0.0012961764614469</v>
      </c>
      <c r="H39" s="7" t="n">
        <f aca="false">LN(D38/D39)</f>
        <v>0.00228245462854927</v>
      </c>
      <c r="I39" s="7" t="n">
        <f aca="false">E39-$I$2</f>
        <v>0.0130369662950282</v>
      </c>
      <c r="J39" s="7" t="n">
        <f aca="false">F39-$J$2</f>
        <v>-0.00241915432008608</v>
      </c>
      <c r="K39" s="7" t="n">
        <f aca="false">G39-$K$2</f>
        <v>0.000883040868226559</v>
      </c>
      <c r="L39" s="7" t="n">
        <f aca="false">H39-$L$2</f>
        <v>0.00186931903532893</v>
      </c>
      <c r="S39" s="9" t="n">
        <v>0.93</v>
      </c>
      <c r="T39" s="9" t="n">
        <v>0.94</v>
      </c>
      <c r="U39" s="9" t="n">
        <v>0.8</v>
      </c>
      <c r="V39" s="9" t="n">
        <v>0.8</v>
      </c>
      <c r="W39" s="5" t="n">
        <f aca="false">SUM(S39:V39)</f>
        <v>3.47</v>
      </c>
      <c r="X39" s="10" t="n">
        <f aca="false">S39/$W39</f>
        <v>0.268011527377522</v>
      </c>
      <c r="Y39" s="10" t="n">
        <f aca="false">T39/$W39</f>
        <v>0.270893371757925</v>
      </c>
      <c r="Z39" s="10" t="n">
        <f aca="false">U39/$W39</f>
        <v>0.230547550432277</v>
      </c>
      <c r="AA39" s="10" t="n">
        <f aca="false">V39/$W39</f>
        <v>0.230547550432277</v>
      </c>
      <c r="AB39" s="10" t="n">
        <f aca="false">SUM(X39:AA39)</f>
        <v>1</v>
      </c>
      <c r="AC39" s="7" t="n">
        <f aca="false" t="array" ref="AC39:AC39">MMULT(MMULT(X39:AA39,$N$2:$Q$5),TRANSPOSE(X39:AA39))</f>
        <v>0.000233214477427611</v>
      </c>
      <c r="AD39" s="7" t="n">
        <f aca="false">SUMPRODUCT(X39:AA39,$E$237:$H$237)</f>
        <v>-0.000200905662892035</v>
      </c>
      <c r="AE39" s="11" t="n">
        <f aca="false">(AD39-$I$2)/SQRT(AC39)</f>
        <v>-0.0402086783300649</v>
      </c>
      <c r="AF39" s="7" t="n">
        <f aca="false">AD39</f>
        <v>-0.000200905662892035</v>
      </c>
      <c r="AG39" s="7" t="n">
        <f aca="false">AC39</f>
        <v>0.000233214477427611</v>
      </c>
      <c r="AH39" s="10" t="n">
        <f aca="false">X39</f>
        <v>0.268011527377522</v>
      </c>
      <c r="AI39" s="10" t="n">
        <f aca="false">Y39</f>
        <v>0.270893371757925</v>
      </c>
      <c r="AJ39" s="10" t="n">
        <f aca="false">Z39</f>
        <v>0.230547550432277</v>
      </c>
      <c r="AK39" s="10" t="n">
        <f aca="false">AA39</f>
        <v>0.230547550432277</v>
      </c>
      <c r="AM39" s="20" t="s">
        <v>57</v>
      </c>
      <c r="AN39" s="20"/>
      <c r="AO39" s="20"/>
      <c r="AP39" s="20"/>
      <c r="AQ39" s="20"/>
      <c r="AR39" s="20"/>
      <c r="AS39" s="20"/>
      <c r="AT39" s="20"/>
    </row>
    <row r="40" customFormat="false" ht="15" hidden="false" customHeight="true" outlineLevel="0" collapsed="false">
      <c r="A40" s="5" t="n">
        <f aca="false">aci!H41</f>
        <v>147.2</v>
      </c>
      <c r="B40" s="5" t="n">
        <f aca="false">apexfoot!H41</f>
        <v>200.5</v>
      </c>
      <c r="C40" s="5" t="n">
        <f aca="false">bxpharma!H41</f>
        <v>78.7</v>
      </c>
      <c r="D40" s="5" t="n">
        <f aca="false">batbc!H41</f>
        <v>353.3</v>
      </c>
      <c r="E40" s="7" t="n">
        <f aca="false">LN(A39/A40)</f>
        <v>0.00339098324255828</v>
      </c>
      <c r="F40" s="7" t="n">
        <f aca="false">LN(B39/B40)</f>
        <v>-0.00449888286926035</v>
      </c>
      <c r="G40" s="7" t="n">
        <f aca="false">LN(C39/C40)</f>
        <v>-0.0205398748540738</v>
      </c>
      <c r="H40" s="7" t="n">
        <f aca="false">LN(D39/D40)</f>
        <v>-0.00909872640447947</v>
      </c>
      <c r="I40" s="7" t="n">
        <f aca="false">E40-$I$2</f>
        <v>0.00297784764933794</v>
      </c>
      <c r="J40" s="7" t="n">
        <f aca="false">F40-$J$2</f>
        <v>-0.00491201846248069</v>
      </c>
      <c r="K40" s="7" t="n">
        <f aca="false">G40-$K$2</f>
        <v>-0.0209530104472941</v>
      </c>
      <c r="L40" s="7" t="n">
        <f aca="false">H40-$L$2</f>
        <v>-0.00951186199769981</v>
      </c>
      <c r="S40" s="9" t="n">
        <v>0.54</v>
      </c>
      <c r="T40" s="9" t="n">
        <v>0.46</v>
      </c>
      <c r="U40" s="9" t="n">
        <v>0.55</v>
      </c>
      <c r="V40" s="9" t="n">
        <v>0.25</v>
      </c>
      <c r="W40" s="5" t="n">
        <f aca="false">SUM(S40:V40)</f>
        <v>1.8</v>
      </c>
      <c r="X40" s="10" t="n">
        <f aca="false">S40/$W40</f>
        <v>0.3</v>
      </c>
      <c r="Y40" s="10" t="n">
        <f aca="false">T40/$W40</f>
        <v>0.255555555555556</v>
      </c>
      <c r="Z40" s="10" t="n">
        <f aca="false">U40/$W40</f>
        <v>0.305555555555556</v>
      </c>
      <c r="AA40" s="10" t="n">
        <f aca="false">V40/$W40</f>
        <v>0.138888888888889</v>
      </c>
      <c r="AB40" s="10" t="n">
        <f aca="false">SUM(X40:AA40)</f>
        <v>1</v>
      </c>
      <c r="AC40" s="7" t="n">
        <f aca="false" t="array" ref="AC40:AC40">MMULT(MMULT(X40:AA40,$N$2:$Q$5),TRANSPOSE(X40:AA40))</f>
        <v>0.000249725791078528</v>
      </c>
      <c r="AD40" s="7" t="n">
        <f aca="false">SUMPRODUCT(X40:AA40,$E$237:$H$237)</f>
        <v>-9.54599413057931E-005</v>
      </c>
      <c r="AE40" s="11" t="n">
        <f aca="false">(AD40-$I$2)/SQRT(AC40)</f>
        <v>-0.0321840610937594</v>
      </c>
      <c r="AF40" s="7" t="n">
        <f aca="false">AD40</f>
        <v>-9.54599413057931E-005</v>
      </c>
      <c r="AG40" s="7" t="n">
        <f aca="false">AC40</f>
        <v>0.000249725791078528</v>
      </c>
      <c r="AH40" s="10" t="n">
        <f aca="false">X40</f>
        <v>0.3</v>
      </c>
      <c r="AI40" s="10" t="n">
        <f aca="false">Y40</f>
        <v>0.255555555555556</v>
      </c>
      <c r="AJ40" s="10" t="n">
        <f aca="false">Z40</f>
        <v>0.305555555555556</v>
      </c>
      <c r="AK40" s="10" t="n">
        <f aca="false">AA40</f>
        <v>0.138888888888889</v>
      </c>
      <c r="AM40" s="20"/>
      <c r="AN40" s="20"/>
      <c r="AO40" s="20"/>
      <c r="AP40" s="20"/>
      <c r="AQ40" s="20"/>
      <c r="AR40" s="20"/>
      <c r="AS40" s="20"/>
      <c r="AT40" s="20"/>
    </row>
    <row r="41" customFormat="false" ht="15" hidden="false" customHeight="true" outlineLevel="0" collapsed="false">
      <c r="A41" s="5" t="n">
        <f aca="false">aci!H42</f>
        <v>146.9</v>
      </c>
      <c r="B41" s="5" t="n">
        <f aca="false">apexfoot!H42</f>
        <v>201.5</v>
      </c>
      <c r="C41" s="5" t="n">
        <f aca="false">bxpharma!H42</f>
        <v>78.3</v>
      </c>
      <c r="D41" s="5" t="n">
        <f aca="false">batbc!H42</f>
        <v>349.6</v>
      </c>
      <c r="E41" s="7" t="n">
        <f aca="false">LN(A40/A41)</f>
        <v>0.00204012311494404</v>
      </c>
      <c r="F41" s="7" t="n">
        <f aca="false">LN(B40/B41)</f>
        <v>-0.00497513464011384</v>
      </c>
      <c r="G41" s="7" t="n">
        <f aca="false">LN(C40/C41)</f>
        <v>0.0050955524266001</v>
      </c>
      <c r="H41" s="7" t="n">
        <f aca="false">LN(D40/D41)</f>
        <v>0.0105279105837191</v>
      </c>
      <c r="I41" s="7" t="n">
        <f aca="false">E41-$I$2</f>
        <v>0.0016269875217237</v>
      </c>
      <c r="J41" s="7" t="n">
        <f aca="false">F41-$J$2</f>
        <v>-0.00538827023333418</v>
      </c>
      <c r="K41" s="7" t="n">
        <f aca="false">G41-$K$2</f>
        <v>0.00468241683337976</v>
      </c>
      <c r="L41" s="7" t="n">
        <f aca="false">H41-$L$2</f>
        <v>0.0101147749904987</v>
      </c>
      <c r="S41" s="9" t="n">
        <v>0.71</v>
      </c>
      <c r="T41" s="9" t="n">
        <v>0.76</v>
      </c>
      <c r="U41" s="9" t="n">
        <v>0.47</v>
      </c>
      <c r="V41" s="9" t="n">
        <v>0.95</v>
      </c>
      <c r="W41" s="5" t="n">
        <f aca="false">SUM(S41:V41)</f>
        <v>2.89</v>
      </c>
      <c r="X41" s="10" t="n">
        <f aca="false">S41/$W41</f>
        <v>0.245674740484429</v>
      </c>
      <c r="Y41" s="10" t="n">
        <f aca="false">T41/$W41</f>
        <v>0.262975778546713</v>
      </c>
      <c r="Z41" s="10" t="n">
        <f aca="false">U41/$W41</f>
        <v>0.162629757785467</v>
      </c>
      <c r="AA41" s="10" t="n">
        <f aca="false">V41/$W41</f>
        <v>0.328719723183391</v>
      </c>
      <c r="AB41" s="10" t="n">
        <f aca="false">SUM(X41:AA41)</f>
        <v>1</v>
      </c>
      <c r="AC41" s="7" t="n">
        <f aca="false" t="array" ref="AC41:AC41">MMULT(MMULT(X41:AA41,$N$2:$Q$5),TRANSPOSE(X41:AA41))</f>
        <v>0.000230669647915491</v>
      </c>
      <c r="AD41" s="7" t="n">
        <f aca="false">SUMPRODUCT(X41:AA41,$E$237:$H$237)</f>
        <v>-0.000290072603595209</v>
      </c>
      <c r="AE41" s="11" t="n">
        <f aca="false">(AD41-$I$2)/SQRT(AC41)</f>
        <v>-0.0463008216463094</v>
      </c>
      <c r="AF41" s="7" t="n">
        <f aca="false">AD41</f>
        <v>-0.000290072603595209</v>
      </c>
      <c r="AG41" s="7" t="n">
        <f aca="false">AC41</f>
        <v>0.000230669647915491</v>
      </c>
      <c r="AH41" s="10" t="n">
        <f aca="false">X41</f>
        <v>0.245674740484429</v>
      </c>
      <c r="AI41" s="10" t="n">
        <f aca="false">Y41</f>
        <v>0.262975778546713</v>
      </c>
      <c r="AJ41" s="10" t="n">
        <f aca="false">Z41</f>
        <v>0.162629757785467</v>
      </c>
      <c r="AK41" s="10" t="n">
        <f aca="false">AA41</f>
        <v>0.328719723183391</v>
      </c>
      <c r="AM41" s="20" t="s">
        <v>58</v>
      </c>
      <c r="AN41" s="20"/>
      <c r="AO41" s="20"/>
      <c r="AP41" s="20"/>
      <c r="AQ41" s="20"/>
      <c r="AR41" s="20"/>
      <c r="AS41" s="20"/>
      <c r="AT41" s="20"/>
    </row>
    <row r="42" customFormat="false" ht="15" hidden="false" customHeight="true" outlineLevel="0" collapsed="false">
      <c r="A42" s="5" t="n">
        <f aca="false">aci!H43</f>
        <v>147.4</v>
      </c>
      <c r="B42" s="5" t="n">
        <f aca="false">apexfoot!H43</f>
        <v>201.2</v>
      </c>
      <c r="C42" s="5" t="n">
        <f aca="false">bxpharma!H43</f>
        <v>76.8</v>
      </c>
      <c r="D42" s="5" t="n">
        <f aca="false">batbc!H43</f>
        <v>352.9</v>
      </c>
      <c r="E42" s="7" t="n">
        <f aca="false">LN(A41/A42)</f>
        <v>-0.00339789657540465</v>
      </c>
      <c r="F42" s="7" t="n">
        <f aca="false">LN(B41/B42)</f>
        <v>0.00148994316115358</v>
      </c>
      <c r="G42" s="7" t="n">
        <f aca="false">LN(C41/C42)</f>
        <v>0.0193429628431309</v>
      </c>
      <c r="H42" s="7" t="n">
        <f aca="false">LN(D41/D42)</f>
        <v>-0.00939508689984385</v>
      </c>
      <c r="I42" s="7" t="n">
        <f aca="false">E42-$I$2</f>
        <v>-0.00381103216862499</v>
      </c>
      <c r="J42" s="7" t="n">
        <f aca="false">F42-$J$2</f>
        <v>0.00107680756793324</v>
      </c>
      <c r="K42" s="7" t="n">
        <f aca="false">G42-$K$2</f>
        <v>0.0189298272499106</v>
      </c>
      <c r="L42" s="7" t="n">
        <f aca="false">H42-$L$2</f>
        <v>-0.00980822249306419</v>
      </c>
      <c r="S42" s="9" t="n">
        <v>0.32</v>
      </c>
      <c r="T42" s="9" t="n">
        <v>0.78</v>
      </c>
      <c r="U42" s="9" t="n">
        <v>0.17</v>
      </c>
      <c r="V42" s="9" t="n">
        <v>0.95</v>
      </c>
      <c r="W42" s="5" t="n">
        <f aca="false">SUM(S42:V42)</f>
        <v>2.22</v>
      </c>
      <c r="X42" s="10" t="n">
        <f aca="false">S42/$W42</f>
        <v>0.144144144144144</v>
      </c>
      <c r="Y42" s="10" t="n">
        <f aca="false">T42/$W42</f>
        <v>0.351351351351351</v>
      </c>
      <c r="Z42" s="10" t="n">
        <f aca="false">U42/$W42</f>
        <v>0.0765765765765766</v>
      </c>
      <c r="AA42" s="10" t="n">
        <f aca="false">V42/$W42</f>
        <v>0.427927927927928</v>
      </c>
      <c r="AB42" s="10" t="n">
        <f aca="false">SUM(X42:AA42)</f>
        <v>1</v>
      </c>
      <c r="AC42" s="7" t="n">
        <f aca="false" t="array" ref="AC42:AC42">MMULT(MMULT(X42:AA42,$N$2:$Q$5),TRANSPOSE(X42:AA42))</f>
        <v>0.000220863863679591</v>
      </c>
      <c r="AD42" s="7" t="n">
        <f aca="false">SUMPRODUCT(X42:AA42,$E$237:$H$237)</f>
        <v>-0.000521968997311783</v>
      </c>
      <c r="AE42" s="11" t="n">
        <f aca="false">(AD42-$I$2)/SQRT(AC42)</f>
        <v>-0.0629213245581961</v>
      </c>
      <c r="AF42" s="7" t="n">
        <f aca="false">AD42</f>
        <v>-0.000521968997311783</v>
      </c>
      <c r="AG42" s="7" t="n">
        <f aca="false">AC42</f>
        <v>0.000220863863679591</v>
      </c>
      <c r="AH42" s="10" t="n">
        <f aca="false">X42</f>
        <v>0.144144144144144</v>
      </c>
      <c r="AI42" s="10" t="n">
        <f aca="false">Y42</f>
        <v>0.351351351351351</v>
      </c>
      <c r="AJ42" s="10" t="n">
        <f aca="false">Z42</f>
        <v>0.0765765765765766</v>
      </c>
      <c r="AK42" s="10" t="n">
        <f aca="false">AA42</f>
        <v>0.427927927927928</v>
      </c>
      <c r="AM42" s="20" t="s">
        <v>59</v>
      </c>
      <c r="AN42" s="20"/>
      <c r="AO42" s="20"/>
      <c r="AP42" s="20"/>
      <c r="AQ42" s="20"/>
      <c r="AR42" s="20"/>
      <c r="AS42" s="20"/>
      <c r="AT42" s="20"/>
    </row>
    <row r="43" customFormat="false" ht="15" hidden="false" customHeight="true" outlineLevel="0" collapsed="false">
      <c r="A43" s="22" t="n">
        <f aca="false">aci!H44</f>
        <v>147.1</v>
      </c>
      <c r="B43" s="22" t="n">
        <f aca="false">apexfoot!H44</f>
        <v>201.1</v>
      </c>
      <c r="C43" s="22" t="n">
        <f aca="false">bxpharma!H44</f>
        <v>76.3</v>
      </c>
      <c r="D43" s="22" t="n">
        <f aca="false">batbc!H44</f>
        <v>352.9</v>
      </c>
      <c r="E43" s="6" t="n">
        <f aca="false">LN(A42/A43)</f>
        <v>0.00203735214784445</v>
      </c>
      <c r="F43" s="6" t="n">
        <f aca="false">LN(B42/B43)</f>
        <v>0.000497141446977686</v>
      </c>
      <c r="G43" s="6" t="n">
        <f aca="false">LN(C42/C43)</f>
        <v>0.00653170186321506</v>
      </c>
      <c r="H43" s="6" t="n">
        <f aca="false">LN(D42/D43)</f>
        <v>0</v>
      </c>
      <c r="I43" s="6" t="n">
        <f aca="false">E43-$I$2</f>
        <v>0.00162421655462411</v>
      </c>
      <c r="J43" s="6" t="n">
        <f aca="false">F43-$J$2</f>
        <v>8.40058537573472E-005</v>
      </c>
      <c r="K43" s="6" t="n">
        <f aca="false">G43-$K$2</f>
        <v>0.00611856626999472</v>
      </c>
      <c r="L43" s="6" t="n">
        <f aca="false">H43-$L$2</f>
        <v>-0.000413135593220339</v>
      </c>
      <c r="S43" s="9" t="n">
        <v>0.77</v>
      </c>
      <c r="T43" s="9" t="n">
        <v>0.79</v>
      </c>
      <c r="U43" s="9" t="n">
        <v>0.7</v>
      </c>
      <c r="V43" s="9" t="n">
        <v>0.53</v>
      </c>
      <c r="W43" s="22" t="n">
        <f aca="false">SUM(S43:V43)</f>
        <v>2.79</v>
      </c>
      <c r="X43" s="23" t="n">
        <f aca="false">S43/$W43</f>
        <v>0.275985663082437</v>
      </c>
      <c r="Y43" s="23" t="n">
        <f aca="false">T43/$W43</f>
        <v>0.283154121863799</v>
      </c>
      <c r="Z43" s="23" t="n">
        <f aca="false">U43/$W43</f>
        <v>0.25089605734767</v>
      </c>
      <c r="AA43" s="23" t="n">
        <f aca="false">V43/$W43</f>
        <v>0.189964157706093</v>
      </c>
      <c r="AB43" s="23" t="n">
        <f aca="false">SUM(X43:AA43)</f>
        <v>1</v>
      </c>
      <c r="AC43" s="6" t="n">
        <f aca="false" t="array" ref="AC43:AC43">MMULT(MMULT(X43:AA43,$N$2:$Q$5),TRANSPOSE(X43:AA43))</f>
        <v>0.000235666717203481</v>
      </c>
      <c r="AD43" s="6" t="n">
        <f aca="false">SUMPRODUCT(X43:AA43,$E$237:$H$237)</f>
        <v>-0.00016810146928275</v>
      </c>
      <c r="AE43" s="24" t="n">
        <f aca="false">(AD43-$I$2)/SQRT(AC43)</f>
        <v>-0.0378620542249255</v>
      </c>
      <c r="AF43" s="6" t="n">
        <f aca="false">AD43</f>
        <v>-0.00016810146928275</v>
      </c>
      <c r="AG43" s="6" t="n">
        <f aca="false">AC43</f>
        <v>0.000235666717203481</v>
      </c>
      <c r="AH43" s="23" t="n">
        <f aca="false">X43</f>
        <v>0.275985663082437</v>
      </c>
      <c r="AI43" s="23" t="n">
        <f aca="false">Y43</f>
        <v>0.283154121863799</v>
      </c>
      <c r="AJ43" s="23" t="n">
        <f aca="false">Z43</f>
        <v>0.25089605734767</v>
      </c>
      <c r="AK43" s="23" t="n">
        <f aca="false">AA43</f>
        <v>0.189964157706093</v>
      </c>
      <c r="AM43" s="20" t="s">
        <v>60</v>
      </c>
      <c r="AN43" s="20"/>
      <c r="AO43" s="20"/>
      <c r="AP43" s="20"/>
      <c r="AQ43" s="20"/>
      <c r="AR43" s="20"/>
      <c r="AS43" s="20"/>
      <c r="AT43" s="20"/>
    </row>
    <row r="44" customFormat="false" ht="15" hidden="false" customHeight="true" outlineLevel="0" collapsed="false">
      <c r="A44" s="22" t="n">
        <f aca="false">aci!H45</f>
        <v>149.4</v>
      </c>
      <c r="B44" s="22" t="n">
        <f aca="false">apexfoot!H45</f>
        <v>201.4</v>
      </c>
      <c r="C44" s="22" t="n">
        <f aca="false">bxpharma!H45</f>
        <v>75.6</v>
      </c>
      <c r="D44" s="22" t="n">
        <f aca="false">batbc!H45</f>
        <v>353.6</v>
      </c>
      <c r="E44" s="6" t="n">
        <f aca="false">LN(A43/A44)</f>
        <v>-0.0155146450913252</v>
      </c>
      <c r="F44" s="6" t="n">
        <f aca="false">LN(B43/B44)</f>
        <v>-0.00149068350585557</v>
      </c>
      <c r="G44" s="6" t="n">
        <f aca="false">LN(C43/C44)</f>
        <v>0.00921665510492405</v>
      </c>
      <c r="H44" s="6" t="n">
        <f aca="false">LN(D43/D44)</f>
        <v>-0.00198160008226409</v>
      </c>
      <c r="I44" s="6" t="n">
        <f aca="false">E44-$I$2</f>
        <v>-0.0159277806845455</v>
      </c>
      <c r="J44" s="6" t="n">
        <f aca="false">F44-$J$2</f>
        <v>-0.00190381909907591</v>
      </c>
      <c r="K44" s="6" t="n">
        <f aca="false">G44-$K$2</f>
        <v>0.00880351951170371</v>
      </c>
      <c r="L44" s="6" t="n">
        <f aca="false">H44-$L$2</f>
        <v>-0.00239473567548443</v>
      </c>
      <c r="S44" s="9" t="n">
        <v>0.21</v>
      </c>
      <c r="T44" s="9" t="n">
        <v>0.84</v>
      </c>
      <c r="U44" s="9" t="n">
        <v>0.24</v>
      </c>
      <c r="V44" s="9" t="n">
        <v>0.48</v>
      </c>
      <c r="W44" s="22" t="n">
        <f aca="false">SUM(S44:V44)</f>
        <v>1.77</v>
      </c>
      <c r="X44" s="23" t="n">
        <f aca="false">S44/$W44</f>
        <v>0.11864406779661</v>
      </c>
      <c r="Y44" s="23" t="n">
        <f aca="false">T44/$W44</f>
        <v>0.474576271186441</v>
      </c>
      <c r="Z44" s="23" t="n">
        <f aca="false">U44/$W44</f>
        <v>0.135593220338983</v>
      </c>
      <c r="AA44" s="23" t="n">
        <f aca="false">V44/$W44</f>
        <v>0.271186440677966</v>
      </c>
      <c r="AB44" s="23" t="n">
        <f aca="false">SUM(X44:AA44)</f>
        <v>1</v>
      </c>
      <c r="AC44" s="6" t="n">
        <f aca="false" t="array" ref="AC44:AC44">MMULT(MMULT(X44:AA44,$N$2:$Q$5),TRANSPOSE(X44:AA44))</f>
        <v>0.000206321693298932</v>
      </c>
      <c r="AD44" s="6" t="n">
        <f aca="false">SUMPRODUCT(X44:AA44,$E$237:$H$237)</f>
        <v>-0.000498091993807444</v>
      </c>
      <c r="AE44" s="24" t="n">
        <f aca="false">(AD44-$I$2)/SQRT(AC44)</f>
        <v>-0.06343872014234</v>
      </c>
      <c r="AF44" s="6" t="n">
        <f aca="false">AD44</f>
        <v>-0.000498091993807444</v>
      </c>
      <c r="AG44" s="6" t="n">
        <f aca="false">AC44</f>
        <v>0.000206321693298932</v>
      </c>
      <c r="AH44" s="23" t="n">
        <f aca="false">X44</f>
        <v>0.11864406779661</v>
      </c>
      <c r="AI44" s="23" t="n">
        <f aca="false">Y44</f>
        <v>0.474576271186441</v>
      </c>
      <c r="AJ44" s="23" t="n">
        <f aca="false">Z44</f>
        <v>0.135593220338983</v>
      </c>
      <c r="AK44" s="23" t="n">
        <f aca="false">AA44</f>
        <v>0.271186440677966</v>
      </c>
    </row>
    <row r="45" customFormat="false" ht="15" hidden="false" customHeight="true" outlineLevel="0" collapsed="false">
      <c r="A45" s="22" t="n">
        <f aca="false">aci!H46</f>
        <v>150.2</v>
      </c>
      <c r="B45" s="22" t="n">
        <f aca="false">apexfoot!H46</f>
        <v>202.7</v>
      </c>
      <c r="C45" s="22" t="n">
        <f aca="false">bxpharma!H46</f>
        <v>75.2</v>
      </c>
      <c r="D45" s="22" t="n">
        <f aca="false">batbc!H46</f>
        <v>350.7</v>
      </c>
      <c r="E45" s="6" t="n">
        <f aca="false">LN(A44/A45)</f>
        <v>-0.00534046663131736</v>
      </c>
      <c r="F45" s="6" t="n">
        <f aca="false">LN(B44/B45)</f>
        <v>-0.00643407317349238</v>
      </c>
      <c r="G45" s="6" t="n">
        <f aca="false">LN(C44/C45)</f>
        <v>0.0053050522296931</v>
      </c>
      <c r="H45" s="6" t="n">
        <f aca="false">LN(D44/D45)</f>
        <v>0.00823517361735604</v>
      </c>
      <c r="I45" s="6" t="n">
        <f aca="false">E45-$I$2</f>
        <v>-0.0057536022245377</v>
      </c>
      <c r="J45" s="6" t="n">
        <f aca="false">F45-$J$2</f>
        <v>-0.00684720876671272</v>
      </c>
      <c r="K45" s="6" t="n">
        <f aca="false">G45-$K$2</f>
        <v>0.00489191663647276</v>
      </c>
      <c r="L45" s="6" t="n">
        <f aca="false">H45-$L$2</f>
        <v>0.0078220380241357</v>
      </c>
      <c r="S45" s="9" t="n">
        <v>0.33</v>
      </c>
      <c r="T45" s="9" t="n">
        <v>0.69</v>
      </c>
      <c r="U45" s="9" t="n">
        <v>0.88</v>
      </c>
      <c r="V45" s="9" t="n">
        <v>0.28</v>
      </c>
      <c r="W45" s="22" t="n">
        <f aca="false">SUM(S45:V45)</f>
        <v>2.18</v>
      </c>
      <c r="X45" s="23" t="n">
        <f aca="false">S45/$W45</f>
        <v>0.151376146788991</v>
      </c>
      <c r="Y45" s="23" t="n">
        <f aca="false">T45/$W45</f>
        <v>0.31651376146789</v>
      </c>
      <c r="Z45" s="23" t="n">
        <f aca="false">U45/$W45</f>
        <v>0.403669724770642</v>
      </c>
      <c r="AA45" s="23" t="n">
        <f aca="false">V45/$W45</f>
        <v>0.128440366972477</v>
      </c>
      <c r="AB45" s="23" t="n">
        <f aca="false">SUM(X45:AA45)</f>
        <v>1</v>
      </c>
      <c r="AC45" s="6" t="n">
        <f aca="false" t="array" ref="AC45:AC45">MMULT(MMULT(X45:AA45,$N$2:$Q$5),TRANSPOSE(X45:AA45))</f>
        <v>0.000229098067095826</v>
      </c>
      <c r="AD45" s="6" t="n">
        <f aca="false">SUMPRODUCT(X45:AA45,$E$237:$H$237)</f>
        <v>-0.000327214250902076</v>
      </c>
      <c r="AE45" s="24" t="n">
        <f aca="false">(AD45-$I$2)/SQRT(AC45)</f>
        <v>-0.0489132225913191</v>
      </c>
      <c r="AF45" s="6" t="n">
        <f aca="false">AD45</f>
        <v>-0.000327214250902076</v>
      </c>
      <c r="AG45" s="6" t="n">
        <f aca="false">AC45</f>
        <v>0.000229098067095826</v>
      </c>
      <c r="AH45" s="23" t="n">
        <f aca="false">X45</f>
        <v>0.151376146788991</v>
      </c>
      <c r="AI45" s="23" t="n">
        <f aca="false">Y45</f>
        <v>0.31651376146789</v>
      </c>
      <c r="AJ45" s="23" t="n">
        <f aca="false">Z45</f>
        <v>0.403669724770642</v>
      </c>
      <c r="AK45" s="23" t="n">
        <f aca="false">AA45</f>
        <v>0.128440366972477</v>
      </c>
    </row>
    <row r="46" customFormat="false" ht="15" hidden="false" customHeight="true" outlineLevel="0" collapsed="false">
      <c r="A46" s="22" t="n">
        <f aca="false">aci!H47</f>
        <v>147.8</v>
      </c>
      <c r="B46" s="22" t="n">
        <f aca="false">apexfoot!H47</f>
        <v>205</v>
      </c>
      <c r="C46" s="22" t="n">
        <f aca="false">bxpharma!H47</f>
        <v>76.6</v>
      </c>
      <c r="D46" s="22" t="n">
        <f aca="false">batbc!H47</f>
        <v>344.9</v>
      </c>
      <c r="E46" s="6" t="n">
        <f aca="false">LN(A45/A46)</f>
        <v>0.0161077308159327</v>
      </c>
      <c r="F46" s="6" t="n">
        <f aca="false">LN(B45/B46)</f>
        <v>-0.0112829256804538</v>
      </c>
      <c r="G46" s="6" t="n">
        <f aca="false">LN(C45/C46)</f>
        <v>-0.0184458457907513</v>
      </c>
      <c r="H46" s="6" t="n">
        <f aca="false">LN(D45/D46)</f>
        <v>0.0166766372033373</v>
      </c>
      <c r="I46" s="6" t="n">
        <f aca="false">E46-$I$2</f>
        <v>0.0156945952227124</v>
      </c>
      <c r="J46" s="6" t="n">
        <f aca="false">F46-$J$2</f>
        <v>-0.0116960612736742</v>
      </c>
      <c r="K46" s="6" t="n">
        <f aca="false">G46-$K$2</f>
        <v>-0.0188589813839717</v>
      </c>
      <c r="L46" s="6" t="n">
        <f aca="false">H46-$L$2</f>
        <v>0.0162635016101169</v>
      </c>
      <c r="S46" s="9" t="n">
        <v>0.57</v>
      </c>
      <c r="T46" s="9" t="n">
        <v>0.12</v>
      </c>
      <c r="U46" s="9" t="n">
        <v>0.89</v>
      </c>
      <c r="V46" s="9" t="n">
        <v>0.48</v>
      </c>
      <c r="W46" s="22" t="n">
        <f aca="false">SUM(S46:V46)</f>
        <v>2.06</v>
      </c>
      <c r="X46" s="23" t="n">
        <f aca="false">S46/$W46</f>
        <v>0.276699029126214</v>
      </c>
      <c r="Y46" s="23" t="n">
        <f aca="false">T46/$W46</f>
        <v>0.058252427184466</v>
      </c>
      <c r="Z46" s="23" t="n">
        <f aca="false">U46/$W46</f>
        <v>0.432038834951456</v>
      </c>
      <c r="AA46" s="23" t="n">
        <f aca="false">V46/$W46</f>
        <v>0.233009708737864</v>
      </c>
      <c r="AB46" s="23" t="n">
        <f aca="false">SUM(X46:AA46)</f>
        <v>1</v>
      </c>
      <c r="AC46" s="6" t="n">
        <f aca="false" t="array" ref="AC46:AC46">MMULT(MMULT(X46:AA46,$N$2:$Q$5),TRANSPOSE(X46:AA46))</f>
        <v>0.000283786609382576</v>
      </c>
      <c r="AD46" s="6" t="n">
        <f aca="false">SUMPRODUCT(X46:AA46,$E$237:$H$237)</f>
        <v>-0.000138084145185559</v>
      </c>
      <c r="AE46" s="24" t="n">
        <f aca="false">(AD46-$I$2)/SQRT(AC46)</f>
        <v>-0.0327211690096949</v>
      </c>
      <c r="AF46" s="6" t="n">
        <f aca="false">AD46</f>
        <v>-0.000138084145185559</v>
      </c>
      <c r="AG46" s="6" t="n">
        <f aca="false">AC46</f>
        <v>0.000283786609382576</v>
      </c>
      <c r="AH46" s="23" t="n">
        <f aca="false">X46</f>
        <v>0.276699029126214</v>
      </c>
      <c r="AI46" s="23" t="n">
        <f aca="false">Y46</f>
        <v>0.058252427184466</v>
      </c>
      <c r="AJ46" s="23" t="n">
        <f aca="false">Z46</f>
        <v>0.432038834951456</v>
      </c>
      <c r="AK46" s="23" t="n">
        <f aca="false">AA46</f>
        <v>0.233009708737864</v>
      </c>
    </row>
    <row r="47" customFormat="false" ht="15" hidden="false" customHeight="true" outlineLevel="0" collapsed="false">
      <c r="A47" s="22" t="n">
        <f aca="false">aci!H48</f>
        <v>147.5</v>
      </c>
      <c r="B47" s="22" t="n">
        <f aca="false">apexfoot!H48</f>
        <v>206</v>
      </c>
      <c r="C47" s="22" t="n">
        <f aca="false">bxpharma!H48</f>
        <v>75.5</v>
      </c>
      <c r="D47" s="22" t="n">
        <f aca="false">batbc!H48</f>
        <v>345.1</v>
      </c>
      <c r="E47" s="6" t="n">
        <f aca="false">LN(A46/A47)</f>
        <v>0.00203183273422685</v>
      </c>
      <c r="F47" s="6" t="n">
        <f aca="false">LN(B46/B47)</f>
        <v>-0.0048661896511729</v>
      </c>
      <c r="G47" s="6" t="n">
        <f aca="false">LN(C46/C47)</f>
        <v>0.0144644204915665</v>
      </c>
      <c r="H47" s="6" t="n">
        <f aca="false">LN(D46/D47)</f>
        <v>-0.000579710161162668</v>
      </c>
      <c r="I47" s="6" t="n">
        <f aca="false">E47-$I$2</f>
        <v>0.00161869714100651</v>
      </c>
      <c r="J47" s="6" t="n">
        <f aca="false">F47-$J$2</f>
        <v>-0.00527932524439324</v>
      </c>
      <c r="K47" s="6" t="n">
        <f aca="false">G47-$K$2</f>
        <v>0.0140512848983462</v>
      </c>
      <c r="L47" s="6" t="n">
        <f aca="false">H47-$L$2</f>
        <v>-0.000992845754383008</v>
      </c>
      <c r="S47" s="9" t="n">
        <v>0.2</v>
      </c>
      <c r="T47" s="9" t="n">
        <v>0.56</v>
      </c>
      <c r="U47" s="9" t="n">
        <v>0.02</v>
      </c>
      <c r="V47" s="9" t="n">
        <v>0.75</v>
      </c>
      <c r="W47" s="22" t="n">
        <f aca="false">SUM(S47:V47)</f>
        <v>1.53</v>
      </c>
      <c r="X47" s="23" t="n">
        <f aca="false">S47/$W47</f>
        <v>0.130718954248366</v>
      </c>
      <c r="Y47" s="23" t="n">
        <f aca="false">T47/$W47</f>
        <v>0.366013071895425</v>
      </c>
      <c r="Z47" s="23" t="n">
        <f aca="false">U47/$W47</f>
        <v>0.0130718954248366</v>
      </c>
      <c r="AA47" s="23" t="n">
        <f aca="false">V47/$W47</f>
        <v>0.490196078431373</v>
      </c>
      <c r="AB47" s="23" t="n">
        <f aca="false">SUM(X47:AA47)</f>
        <v>1</v>
      </c>
      <c r="AC47" s="6" t="n">
        <f aca="false" t="array" ref="AC47:AC47">MMULT(MMULT(X47:AA47,$N$2:$Q$5),TRANSPOSE(X47:AA47))</f>
        <v>0.000235799262220476</v>
      </c>
      <c r="AD47" s="6" t="n">
        <f aca="false">SUMPRODUCT(X47:AA47,$E$237:$H$237)</f>
        <v>-0.000582151474610312</v>
      </c>
      <c r="AE47" s="24" t="n">
        <f aca="false">(AD47-$I$2)/SQRT(AC47)</f>
        <v>-0.0648152409986167</v>
      </c>
      <c r="AF47" s="6" t="n">
        <f aca="false">AD47</f>
        <v>-0.000582151474610312</v>
      </c>
      <c r="AG47" s="6" t="n">
        <f aca="false">AC47</f>
        <v>0.000235799262220476</v>
      </c>
      <c r="AH47" s="23" t="n">
        <f aca="false">X47</f>
        <v>0.130718954248366</v>
      </c>
      <c r="AI47" s="23" t="n">
        <f aca="false">Y47</f>
        <v>0.366013071895425</v>
      </c>
      <c r="AJ47" s="23" t="n">
        <f aca="false">Z47</f>
        <v>0.0130718954248366</v>
      </c>
      <c r="AK47" s="23" t="n">
        <f aca="false">AA47</f>
        <v>0.490196078431373</v>
      </c>
    </row>
    <row r="48" customFormat="false" ht="15" hidden="false" customHeight="true" outlineLevel="0" collapsed="false">
      <c r="A48" s="22" t="n">
        <f aca="false">aci!H49</f>
        <v>147.6</v>
      </c>
      <c r="B48" s="22" t="n">
        <f aca="false">apexfoot!H49</f>
        <v>204.6</v>
      </c>
      <c r="C48" s="22" t="n">
        <f aca="false">bxpharma!H49</f>
        <v>75.1</v>
      </c>
      <c r="D48" s="22" t="n">
        <f aca="false">batbc!H49</f>
        <v>345.2</v>
      </c>
      <c r="E48" s="6" t="n">
        <f aca="false">LN(A47/A48)</f>
        <v>-0.000677736386497582</v>
      </c>
      <c r="F48" s="6" t="n">
        <f aca="false">LN(B47/B48)</f>
        <v>0.00681931527205497</v>
      </c>
      <c r="G48" s="6" t="n">
        <f aca="false">LN(C47/C48)</f>
        <v>0.00531209748489011</v>
      </c>
      <c r="H48" s="6" t="n">
        <f aca="false">LN(D47/D48)</f>
        <v>-0.000289729105315089</v>
      </c>
      <c r="I48" s="6" t="n">
        <f aca="false">E48-$I$2</f>
        <v>-0.00109087197971792</v>
      </c>
      <c r="J48" s="6" t="n">
        <f aca="false">F48-$J$2</f>
        <v>0.00640617967883463</v>
      </c>
      <c r="K48" s="6" t="n">
        <f aca="false">G48-$K$2</f>
        <v>0.00489896189166977</v>
      </c>
      <c r="L48" s="6" t="n">
        <f aca="false">H48-$L$2</f>
        <v>-0.000702864698535428</v>
      </c>
      <c r="S48" s="9" t="n">
        <v>0.69</v>
      </c>
      <c r="T48" s="9" t="n">
        <v>0.72</v>
      </c>
      <c r="U48" s="9" t="n">
        <v>0.76</v>
      </c>
      <c r="V48" s="9" t="n">
        <v>0.02</v>
      </c>
      <c r="W48" s="22" t="n">
        <f aca="false">SUM(S48:V48)</f>
        <v>2.19</v>
      </c>
      <c r="X48" s="23" t="n">
        <f aca="false">S48/$W48</f>
        <v>0.315068493150685</v>
      </c>
      <c r="Y48" s="23" t="n">
        <f aca="false">T48/$W48</f>
        <v>0.328767123287671</v>
      </c>
      <c r="Z48" s="23" t="n">
        <f aca="false">U48/$W48</f>
        <v>0.34703196347032</v>
      </c>
      <c r="AA48" s="23" t="n">
        <f aca="false">V48/$W48</f>
        <v>0.0091324200913242</v>
      </c>
      <c r="AB48" s="23" t="n">
        <f aca="false">SUM(X48:AA48)</f>
        <v>1</v>
      </c>
      <c r="AC48" s="6" t="n">
        <f aca="false" t="array" ref="AC48:AC48">MMULT(MMULT(X48:AA48,$N$2:$Q$5),TRANSPOSE(X48:AA48))</f>
        <v>0.000262772013743822</v>
      </c>
      <c r="AD48" s="6" t="n">
        <f aca="false">SUMPRODUCT(X48:AA48,$E$237:$H$237)</f>
        <v>-1.4426457875562E-005</v>
      </c>
      <c r="AE48" s="24" t="n">
        <f aca="false">(AD48-$I$2)/SQRT(AC48)</f>
        <v>-0.0263760402674395</v>
      </c>
      <c r="AF48" s="6" t="n">
        <f aca="false">AD48</f>
        <v>-1.4426457875562E-005</v>
      </c>
      <c r="AG48" s="6" t="n">
        <f aca="false">AC48</f>
        <v>0.000262772013743822</v>
      </c>
      <c r="AH48" s="23" t="n">
        <f aca="false">X48</f>
        <v>0.315068493150685</v>
      </c>
      <c r="AI48" s="23" t="n">
        <f aca="false">Y48</f>
        <v>0.328767123287671</v>
      </c>
      <c r="AJ48" s="23" t="n">
        <f aca="false">Z48</f>
        <v>0.34703196347032</v>
      </c>
      <c r="AK48" s="23" t="n">
        <f aca="false">AA48</f>
        <v>0.0091324200913242</v>
      </c>
    </row>
    <row r="49" customFormat="false" ht="15" hidden="false" customHeight="true" outlineLevel="0" collapsed="false">
      <c r="A49" s="22" t="n">
        <f aca="false">aci!H50</f>
        <v>149.4</v>
      </c>
      <c r="B49" s="22" t="n">
        <f aca="false">apexfoot!H50</f>
        <v>203.9</v>
      </c>
      <c r="C49" s="22" t="n">
        <f aca="false">bxpharma!H50</f>
        <v>76.8</v>
      </c>
      <c r="D49" s="22" t="n">
        <f aca="false">batbc!H50</f>
        <v>349</v>
      </c>
      <c r="E49" s="6" t="n">
        <f aca="false">LN(A48/A49)</f>
        <v>-0.0121213605323449</v>
      </c>
      <c r="F49" s="6" t="n">
        <f aca="false">LN(B48/B49)</f>
        <v>0.00342717593711657</v>
      </c>
      <c r="G49" s="6" t="n">
        <f aca="false">LN(C48/C49)</f>
        <v>-0.0223840813835375</v>
      </c>
      <c r="H49" s="6" t="n">
        <f aca="false">LN(D48/D49)</f>
        <v>-0.0109479629931543</v>
      </c>
      <c r="I49" s="6" t="n">
        <f aca="false">E49-$I$2</f>
        <v>-0.0125344961255652</v>
      </c>
      <c r="J49" s="6" t="n">
        <f aca="false">F49-$J$2</f>
        <v>0.00301404034389623</v>
      </c>
      <c r="K49" s="6" t="n">
        <f aca="false">G49-$K$2</f>
        <v>-0.0227972169767578</v>
      </c>
      <c r="L49" s="6" t="n">
        <f aca="false">H49-$L$2</f>
        <v>-0.0113610985863746</v>
      </c>
      <c r="S49" s="9" t="n">
        <v>0.13</v>
      </c>
      <c r="T49" s="9" t="n">
        <v>0.93</v>
      </c>
      <c r="U49" s="9" t="n">
        <v>0.67</v>
      </c>
      <c r="V49" s="9" t="n">
        <v>0.65</v>
      </c>
      <c r="W49" s="22" t="n">
        <f aca="false">SUM(S49:V49)</f>
        <v>2.38</v>
      </c>
      <c r="X49" s="23" t="n">
        <f aca="false">S49/$W49</f>
        <v>0.0546218487394958</v>
      </c>
      <c r="Y49" s="23" t="n">
        <f aca="false">T49/$W49</f>
        <v>0.390756302521008</v>
      </c>
      <c r="Z49" s="23" t="n">
        <f aca="false">U49/$W49</f>
        <v>0.281512605042017</v>
      </c>
      <c r="AA49" s="23" t="n">
        <f aca="false">V49/$W49</f>
        <v>0.273109243697479</v>
      </c>
      <c r="AB49" s="23" t="n">
        <f aca="false">SUM(X49:AA49)</f>
        <v>1</v>
      </c>
      <c r="AC49" s="6" t="n">
        <f aca="false" t="array" ref="AC49:AC49">MMULT(MMULT(X49:AA49,$N$2:$Q$5),TRANSPOSE(X49:AA49))</f>
        <v>0.000197079986240366</v>
      </c>
      <c r="AD49" s="6" t="n">
        <f aca="false">SUMPRODUCT(X49:AA49,$E$237:$H$237)</f>
        <v>-0.000575174161729006</v>
      </c>
      <c r="AE49" s="24" t="n">
        <f aca="false">(AD49-$I$2)/SQRT(AC49)</f>
        <v>-0.0703998640347611</v>
      </c>
      <c r="AF49" s="6" t="n">
        <f aca="false">AD49</f>
        <v>-0.000575174161729006</v>
      </c>
      <c r="AG49" s="6" t="n">
        <f aca="false">AC49</f>
        <v>0.000197079986240366</v>
      </c>
      <c r="AH49" s="23" t="n">
        <f aca="false">X49</f>
        <v>0.0546218487394958</v>
      </c>
      <c r="AI49" s="23" t="n">
        <f aca="false">Y49</f>
        <v>0.390756302521008</v>
      </c>
      <c r="AJ49" s="23" t="n">
        <f aca="false">Z49</f>
        <v>0.281512605042017</v>
      </c>
      <c r="AK49" s="23" t="n">
        <f aca="false">AA49</f>
        <v>0.273109243697479</v>
      </c>
    </row>
    <row r="50" customFormat="false" ht="15" hidden="false" customHeight="true" outlineLevel="0" collapsed="false">
      <c r="A50" s="22" t="n">
        <f aca="false">aci!H51</f>
        <v>146.2</v>
      </c>
      <c r="B50" s="22" t="n">
        <f aca="false">apexfoot!H51</f>
        <v>203.5</v>
      </c>
      <c r="C50" s="22" t="n">
        <f aca="false">bxpharma!H51</f>
        <v>78.3</v>
      </c>
      <c r="D50" s="22" t="n">
        <f aca="false">batbc!H51</f>
        <v>349.7</v>
      </c>
      <c r="E50" s="6" t="n">
        <f aca="false">LN(A49/A50)</f>
        <v>0.021651725383039</v>
      </c>
      <c r="F50" s="6" t="n">
        <f aca="false">LN(B49/B50)</f>
        <v>0.00196367269775987</v>
      </c>
      <c r="G50" s="6" t="n">
        <f aca="false">LN(C49/C50)</f>
        <v>-0.019342962843131</v>
      </c>
      <c r="H50" s="6" t="n">
        <f aca="false">LN(D49/D50)</f>
        <v>-0.00200372186690294</v>
      </c>
      <c r="I50" s="6" t="n">
        <f aca="false">E50-$I$2</f>
        <v>0.0212385897898187</v>
      </c>
      <c r="J50" s="6" t="n">
        <f aca="false">F50-$J$2</f>
        <v>0.00155053710453953</v>
      </c>
      <c r="K50" s="6" t="n">
        <f aca="false">G50-$K$2</f>
        <v>-0.0197560984363513</v>
      </c>
      <c r="L50" s="6" t="n">
        <f aca="false">H50-$L$2</f>
        <v>-0.00241685746012328</v>
      </c>
      <c r="S50" s="9" t="n">
        <v>0.22</v>
      </c>
      <c r="T50" s="9" t="n">
        <v>0.85</v>
      </c>
      <c r="U50" s="9" t="n">
        <v>0.61</v>
      </c>
      <c r="V50" s="9" t="n">
        <v>0.44</v>
      </c>
      <c r="W50" s="22" t="n">
        <f aca="false">SUM(S50:V50)</f>
        <v>2.12</v>
      </c>
      <c r="X50" s="23" t="n">
        <f aca="false">S50/$W50</f>
        <v>0.10377358490566</v>
      </c>
      <c r="Y50" s="23" t="n">
        <f aca="false">T50/$W50</f>
        <v>0.400943396226415</v>
      </c>
      <c r="Z50" s="23" t="n">
        <f aca="false">U50/$W50</f>
        <v>0.287735849056604</v>
      </c>
      <c r="AA50" s="23" t="n">
        <f aca="false">V50/$W50</f>
        <v>0.207547169811321</v>
      </c>
      <c r="AB50" s="23" t="n">
        <f aca="false">SUM(X50:AA50)</f>
        <v>1</v>
      </c>
      <c r="AC50" s="6" t="n">
        <f aca="false" t="array" ref="AC50:AC50">MMULT(MMULT(X50:AA50,$N$2:$Q$5),TRANSPOSE(X50:AA50))</f>
        <v>0.000202721341769531</v>
      </c>
      <c r="AD50" s="6" t="n">
        <f aca="false">SUMPRODUCT(X50:AA50,$E$237:$H$237)</f>
        <v>-0.000465394637293741</v>
      </c>
      <c r="AE50" s="24" t="n">
        <f aca="false">(AD50-$I$2)/SQRT(AC50)</f>
        <v>-0.061703098648438</v>
      </c>
      <c r="AF50" s="6" t="n">
        <f aca="false">AD50</f>
        <v>-0.000465394637293741</v>
      </c>
      <c r="AG50" s="6" t="n">
        <f aca="false">AC50</f>
        <v>0.000202721341769531</v>
      </c>
      <c r="AH50" s="23" t="n">
        <f aca="false">X50</f>
        <v>0.10377358490566</v>
      </c>
      <c r="AI50" s="23" t="n">
        <f aca="false">Y50</f>
        <v>0.400943396226415</v>
      </c>
      <c r="AJ50" s="23" t="n">
        <f aca="false">Z50</f>
        <v>0.287735849056604</v>
      </c>
      <c r="AK50" s="23" t="n">
        <f aca="false">AA50</f>
        <v>0.207547169811321</v>
      </c>
    </row>
    <row r="51" customFormat="false" ht="15" hidden="false" customHeight="true" outlineLevel="0" collapsed="false">
      <c r="A51" s="22" t="n">
        <f aca="false">aci!H52</f>
        <v>147.5</v>
      </c>
      <c r="B51" s="22" t="n">
        <f aca="false">apexfoot!H52</f>
        <v>200.2</v>
      </c>
      <c r="C51" s="22" t="n">
        <f aca="false">bxpharma!H52</f>
        <v>78.8</v>
      </c>
      <c r="D51" s="22" t="n">
        <f aca="false">batbc!H52</f>
        <v>350.1</v>
      </c>
      <c r="E51" s="6" t="n">
        <f aca="false">LN(A50/A51)</f>
        <v>-0.00885262846419647</v>
      </c>
      <c r="F51" s="6" t="n">
        <f aca="false">LN(B50/B51)</f>
        <v>0.0163491380015296</v>
      </c>
      <c r="G51" s="6" t="n">
        <f aca="false">LN(C50/C51)</f>
        <v>-0.00636539386707607</v>
      </c>
      <c r="H51" s="6" t="n">
        <f aca="false">LN(D50/D51)</f>
        <v>-0.00114318389128997</v>
      </c>
      <c r="I51" s="6" t="n">
        <f aca="false">E51-$I$2</f>
        <v>-0.00926576405741681</v>
      </c>
      <c r="J51" s="6" t="n">
        <f aca="false">F51-$J$2</f>
        <v>0.0159360024083093</v>
      </c>
      <c r="K51" s="6" t="n">
        <f aca="false">G51-$K$2</f>
        <v>-0.00677852946029641</v>
      </c>
      <c r="L51" s="6" t="n">
        <f aca="false">H51-$L$2</f>
        <v>-0.00155631948451031</v>
      </c>
      <c r="S51" s="9" t="n">
        <v>0.02</v>
      </c>
      <c r="T51" s="9" t="n">
        <v>0.03</v>
      </c>
      <c r="U51" s="9" t="n">
        <v>0.19</v>
      </c>
      <c r="V51" s="9" t="n">
        <v>0.2</v>
      </c>
      <c r="W51" s="22" t="n">
        <f aca="false">SUM(S51:V51)</f>
        <v>0.44</v>
      </c>
      <c r="X51" s="23" t="n">
        <f aca="false">S51/$W51</f>
        <v>0.0454545454545455</v>
      </c>
      <c r="Y51" s="23" t="n">
        <f aca="false">T51/$W51</f>
        <v>0.0681818181818182</v>
      </c>
      <c r="Z51" s="23" t="n">
        <f aca="false">U51/$W51</f>
        <v>0.431818181818182</v>
      </c>
      <c r="AA51" s="23" t="n">
        <f aca="false">V51/$W51</f>
        <v>0.454545454545455</v>
      </c>
      <c r="AB51" s="23" t="n">
        <f aca="false">SUM(X51:AA51)</f>
        <v>1</v>
      </c>
      <c r="AC51" s="6" t="n">
        <f aca="false" t="array" ref="AC51:AC51">MMULT(MMULT(X51:AA51,$N$2:$Q$5),TRANSPOSE(X51:AA51))</f>
        <v>0.000236642904602786</v>
      </c>
      <c r="AD51" s="6" t="n">
        <f aca="false">SUMPRODUCT(X51:AA51,$E$237:$H$237)</f>
        <v>-0.000617567405375929</v>
      </c>
      <c r="AE51" s="24" t="n">
        <f aca="false">(AD51-$I$2)/SQRT(AC51)</f>
        <v>-0.0670018502512524</v>
      </c>
      <c r="AF51" s="6" t="n">
        <f aca="false">AD51</f>
        <v>-0.000617567405375929</v>
      </c>
      <c r="AG51" s="6" t="n">
        <f aca="false">AC51</f>
        <v>0.000236642904602786</v>
      </c>
      <c r="AH51" s="23" t="n">
        <f aca="false">X51</f>
        <v>0.0454545454545455</v>
      </c>
      <c r="AI51" s="23" t="n">
        <f aca="false">Y51</f>
        <v>0.0681818181818182</v>
      </c>
      <c r="AJ51" s="23" t="n">
        <f aca="false">Z51</f>
        <v>0.431818181818182</v>
      </c>
      <c r="AK51" s="23" t="n">
        <f aca="false">AA51</f>
        <v>0.454545454545455</v>
      </c>
    </row>
    <row r="52" customFormat="false" ht="15" hidden="false" customHeight="true" outlineLevel="0" collapsed="false">
      <c r="A52" s="22" t="n">
        <f aca="false">aci!H53</f>
        <v>148.3</v>
      </c>
      <c r="B52" s="22" t="n">
        <f aca="false">apexfoot!H53</f>
        <v>202.1</v>
      </c>
      <c r="C52" s="22" t="n">
        <f aca="false">bxpharma!H53</f>
        <v>77.1</v>
      </c>
      <c r="D52" s="22" t="n">
        <f aca="false">batbc!H53</f>
        <v>350.2</v>
      </c>
      <c r="E52" s="6" t="n">
        <f aca="false">LN(A51/A52)</f>
        <v>-0.00540907336401197</v>
      </c>
      <c r="F52" s="6" t="n">
        <f aca="false">LN(B51/B52)</f>
        <v>-0.0094457575284552</v>
      </c>
      <c r="G52" s="6" t="n">
        <f aca="false">LN(C51/C52)</f>
        <v>0.0218097162945498</v>
      </c>
      <c r="H52" s="6" t="n">
        <f aca="false">LN(D51/D52)</f>
        <v>-0.000285591891131393</v>
      </c>
      <c r="I52" s="6" t="n">
        <f aca="false">E52-$I$2</f>
        <v>-0.00582220895723231</v>
      </c>
      <c r="J52" s="6" t="n">
        <f aca="false">F52-$J$2</f>
        <v>-0.00985889312167554</v>
      </c>
      <c r="K52" s="6" t="n">
        <f aca="false">G52-$K$2</f>
        <v>0.0213965807013294</v>
      </c>
      <c r="L52" s="6" t="n">
        <f aca="false">H52-$L$2</f>
        <v>-0.000698727484351732</v>
      </c>
      <c r="S52" s="9" t="n">
        <v>0.61</v>
      </c>
      <c r="T52" s="9" t="n">
        <v>0.4</v>
      </c>
      <c r="U52" s="9" t="n">
        <v>0.65</v>
      </c>
      <c r="V52" s="9" t="n">
        <v>0.38</v>
      </c>
      <c r="W52" s="22" t="n">
        <f aca="false">SUM(S52:V52)</f>
        <v>2.04</v>
      </c>
      <c r="X52" s="23" t="n">
        <f aca="false">S52/$W52</f>
        <v>0.299019607843137</v>
      </c>
      <c r="Y52" s="23" t="n">
        <f aca="false">T52/$W52</f>
        <v>0.196078431372549</v>
      </c>
      <c r="Z52" s="23" t="n">
        <f aca="false">U52/$W52</f>
        <v>0.318627450980392</v>
      </c>
      <c r="AA52" s="23" t="n">
        <f aca="false">V52/$W52</f>
        <v>0.186274509803922</v>
      </c>
      <c r="AB52" s="23" t="n">
        <f aca="false">SUM(X52:AA52)</f>
        <v>1</v>
      </c>
      <c r="AC52" s="6" t="n">
        <f aca="false" t="array" ref="AC52:AC52">MMULT(MMULT(X52:AA52,$N$2:$Q$5),TRANSPOSE(X52:AA52))</f>
        <v>0.000254617992980003</v>
      </c>
      <c r="AD52" s="6" t="n">
        <f aca="false">SUMPRODUCT(X52:AA52,$E$237:$H$237)</f>
        <v>-0.000110374701303505</v>
      </c>
      <c r="AE52" s="24" t="n">
        <f aca="false">(AD52-$I$2)/SQRT(AC52)</f>
        <v>-0.0328080698560084</v>
      </c>
      <c r="AF52" s="6" t="n">
        <f aca="false">AD52</f>
        <v>-0.000110374701303505</v>
      </c>
      <c r="AG52" s="6" t="n">
        <f aca="false">AC52</f>
        <v>0.000254617992980003</v>
      </c>
      <c r="AH52" s="23" t="n">
        <f aca="false">X52</f>
        <v>0.299019607843137</v>
      </c>
      <c r="AI52" s="23" t="n">
        <f aca="false">Y52</f>
        <v>0.196078431372549</v>
      </c>
      <c r="AJ52" s="23" t="n">
        <f aca="false">Z52</f>
        <v>0.318627450980392</v>
      </c>
      <c r="AK52" s="23" t="n">
        <f aca="false">AA52</f>
        <v>0.186274509803922</v>
      </c>
    </row>
    <row r="53" customFormat="false" ht="15" hidden="false" customHeight="true" outlineLevel="0" collapsed="false">
      <c r="A53" s="22" t="n">
        <f aca="false">aci!H54</f>
        <v>150.4</v>
      </c>
      <c r="B53" s="22" t="n">
        <f aca="false">apexfoot!H54</f>
        <v>198.2</v>
      </c>
      <c r="C53" s="22" t="n">
        <f aca="false">bxpharma!H54</f>
        <v>74.9</v>
      </c>
      <c r="D53" s="22" t="n">
        <f aca="false">batbc!H54</f>
        <v>350.5</v>
      </c>
      <c r="E53" s="6" t="n">
        <f aca="false">LN(A52/A53)</f>
        <v>-0.014061162371853</v>
      </c>
      <c r="F53" s="6" t="n">
        <f aca="false">LN(B52/B53)</f>
        <v>0.0194860025136877</v>
      </c>
      <c r="G53" s="6" t="n">
        <f aca="false">LN(C52/C53)</f>
        <v>0.0289493900461099</v>
      </c>
      <c r="H53" s="6" t="n">
        <f aca="false">LN(D52/D53)</f>
        <v>-0.000856286622893344</v>
      </c>
      <c r="I53" s="6" t="n">
        <f aca="false">E53-$I$2</f>
        <v>-0.0144742979650733</v>
      </c>
      <c r="J53" s="6" t="n">
        <f aca="false">F53-$J$2</f>
        <v>0.0190728669204673</v>
      </c>
      <c r="K53" s="6" t="n">
        <f aca="false">G53-$K$2</f>
        <v>0.0285362544528896</v>
      </c>
      <c r="L53" s="6" t="n">
        <f aca="false">H53-$L$2</f>
        <v>-0.00126942221611368</v>
      </c>
      <c r="S53" s="9" t="n">
        <v>0.34</v>
      </c>
      <c r="T53" s="9" t="n">
        <v>0.54</v>
      </c>
      <c r="U53" s="9" t="n">
        <v>0.65</v>
      </c>
      <c r="V53" s="9" t="n">
        <v>0.63</v>
      </c>
      <c r="W53" s="22" t="n">
        <f aca="false">SUM(S53:V53)</f>
        <v>2.16</v>
      </c>
      <c r="X53" s="23" t="n">
        <f aca="false">S53/$W53</f>
        <v>0.157407407407407</v>
      </c>
      <c r="Y53" s="23" t="n">
        <f aca="false">T53/$W53</f>
        <v>0.25</v>
      </c>
      <c r="Z53" s="23" t="n">
        <f aca="false">U53/$W53</f>
        <v>0.300925925925926</v>
      </c>
      <c r="AA53" s="23" t="n">
        <f aca="false">V53/$W53</f>
        <v>0.291666666666667</v>
      </c>
      <c r="AB53" s="23" t="n">
        <f aca="false">SUM(X53:AA53)</f>
        <v>1</v>
      </c>
      <c r="AC53" s="6" t="n">
        <f aca="false" t="array" ref="AC53:AC53">MMULT(MMULT(X53:AA53,$N$2:$Q$5),TRANSPOSE(X53:AA53))</f>
        <v>0.000213865032204549</v>
      </c>
      <c r="AD53" s="6" t="n">
        <f aca="false">SUMPRODUCT(X53:AA53,$E$237:$H$237)</f>
        <v>-0.000397788333405182</v>
      </c>
      <c r="AE53" s="24" t="n">
        <f aca="false">(AD53-$I$2)/SQRT(AC53)</f>
        <v>-0.055451107417869</v>
      </c>
      <c r="AF53" s="6" t="n">
        <f aca="false">AD53</f>
        <v>-0.000397788333405182</v>
      </c>
      <c r="AG53" s="6" t="n">
        <f aca="false">AC53</f>
        <v>0.000213865032204549</v>
      </c>
      <c r="AH53" s="23" t="n">
        <f aca="false">X53</f>
        <v>0.157407407407407</v>
      </c>
      <c r="AI53" s="23" t="n">
        <f aca="false">Y53</f>
        <v>0.25</v>
      </c>
      <c r="AJ53" s="23" t="n">
        <f aca="false">Z53</f>
        <v>0.300925925925926</v>
      </c>
      <c r="AK53" s="23" t="n">
        <f aca="false">AA53</f>
        <v>0.291666666666667</v>
      </c>
    </row>
    <row r="54" customFormat="false" ht="15" hidden="false" customHeight="true" outlineLevel="0" collapsed="false">
      <c r="A54" s="22" t="n">
        <f aca="false">aci!H55</f>
        <v>150.1</v>
      </c>
      <c r="B54" s="22" t="n">
        <f aca="false">apexfoot!H55</f>
        <v>194.7</v>
      </c>
      <c r="C54" s="22" t="n">
        <f aca="false">bxpharma!H55</f>
        <v>75.1</v>
      </c>
      <c r="D54" s="22" t="n">
        <f aca="false">batbc!H55</f>
        <v>351.7</v>
      </c>
      <c r="E54" s="6" t="n">
        <f aca="false">LN(A53/A54)</f>
        <v>0.0019966728763233</v>
      </c>
      <c r="F54" s="6" t="n">
        <f aca="false">LN(B53/B54)</f>
        <v>0.0178167095177335</v>
      </c>
      <c r="G54" s="6" t="n">
        <f aca="false">LN(C53/C54)</f>
        <v>-0.00266666824691512</v>
      </c>
      <c r="H54" s="6" t="n">
        <f aca="false">LN(D53/D54)</f>
        <v>-0.00341783300529191</v>
      </c>
      <c r="I54" s="6" t="n">
        <f aca="false">E54-$I$2</f>
        <v>0.00158353728310296</v>
      </c>
      <c r="J54" s="6" t="n">
        <f aca="false">F54-$J$2</f>
        <v>0.0174035739245132</v>
      </c>
      <c r="K54" s="6" t="n">
        <f aca="false">G54-$K$2</f>
        <v>-0.00307980384013546</v>
      </c>
      <c r="L54" s="6" t="n">
        <f aca="false">H54-$L$2</f>
        <v>-0.00383096859851225</v>
      </c>
      <c r="S54" s="9" t="n">
        <v>0.67</v>
      </c>
      <c r="T54" s="9" t="n">
        <v>0.51</v>
      </c>
      <c r="U54" s="9" t="n">
        <v>0.84</v>
      </c>
      <c r="V54" s="9" t="n">
        <v>0.43</v>
      </c>
      <c r="W54" s="22" t="n">
        <f aca="false">SUM(S54:V54)</f>
        <v>2.45</v>
      </c>
      <c r="X54" s="23" t="n">
        <f aca="false">S54/$W54</f>
        <v>0.273469387755102</v>
      </c>
      <c r="Y54" s="23" t="n">
        <f aca="false">T54/$W54</f>
        <v>0.208163265306122</v>
      </c>
      <c r="Z54" s="23" t="n">
        <f aca="false">U54/$W54</f>
        <v>0.342857142857143</v>
      </c>
      <c r="AA54" s="23" t="n">
        <f aca="false">V54/$W54</f>
        <v>0.175510204081633</v>
      </c>
      <c r="AB54" s="23" t="n">
        <f aca="false">SUM(X54:AA54)</f>
        <v>1</v>
      </c>
      <c r="AC54" s="6" t="n">
        <f aca="false" t="array" ref="AC54:AC54">MMULT(MMULT(X54:AA54,$N$2:$Q$5),TRANSPOSE(X54:AA54))</f>
        <v>0.000249445589332008</v>
      </c>
      <c r="AD54" s="6" t="n">
        <f aca="false">SUMPRODUCT(X54:AA54,$E$237:$H$237)</f>
        <v>-0.000145347333960004</v>
      </c>
      <c r="AE54" s="24" t="n">
        <f aca="false">(AD54-$I$2)/SQRT(AC54)</f>
        <v>-0.0353607922469719</v>
      </c>
      <c r="AF54" s="6" t="n">
        <f aca="false">AD54</f>
        <v>-0.000145347333960004</v>
      </c>
      <c r="AG54" s="6" t="n">
        <f aca="false">AC54</f>
        <v>0.000249445589332008</v>
      </c>
      <c r="AH54" s="23" t="n">
        <f aca="false">X54</f>
        <v>0.273469387755102</v>
      </c>
      <c r="AI54" s="23" t="n">
        <f aca="false">Y54</f>
        <v>0.208163265306122</v>
      </c>
      <c r="AJ54" s="23" t="n">
        <f aca="false">Z54</f>
        <v>0.342857142857143</v>
      </c>
      <c r="AK54" s="23" t="n">
        <f aca="false">AA54</f>
        <v>0.175510204081633</v>
      </c>
    </row>
    <row r="55" customFormat="false" ht="15" hidden="false" customHeight="true" outlineLevel="0" collapsed="false">
      <c r="A55" s="22" t="n">
        <f aca="false">aci!H56</f>
        <v>153.2</v>
      </c>
      <c r="B55" s="22" t="n">
        <f aca="false">apexfoot!H56</f>
        <v>195.1</v>
      </c>
      <c r="C55" s="22" t="n">
        <f aca="false">bxpharma!H56</f>
        <v>76.2</v>
      </c>
      <c r="D55" s="22" t="n">
        <f aca="false">batbc!H56</f>
        <v>353.3</v>
      </c>
      <c r="E55" s="6" t="n">
        <f aca="false">LN(A54/A55)</f>
        <v>-0.0204425186670746</v>
      </c>
      <c r="F55" s="6" t="n">
        <f aca="false">LN(B54/B55)</f>
        <v>-0.00205233525091152</v>
      </c>
      <c r="G55" s="6" t="n">
        <f aca="false">LN(C54/C55)</f>
        <v>-0.0145409039225117</v>
      </c>
      <c r="H55" s="6" t="n">
        <f aca="false">LN(D54/D55)</f>
        <v>-0.00453901488516284</v>
      </c>
      <c r="I55" s="6" t="n">
        <f aca="false">E55-$I$2</f>
        <v>-0.020855654260295</v>
      </c>
      <c r="J55" s="6" t="n">
        <f aca="false">F55-$J$2</f>
        <v>-0.00246547084413186</v>
      </c>
      <c r="K55" s="6" t="n">
        <f aca="false">G55-$K$2</f>
        <v>-0.014954039515732</v>
      </c>
      <c r="L55" s="6" t="n">
        <f aca="false">H55-$L$2</f>
        <v>-0.00495215047838318</v>
      </c>
      <c r="S55" s="9" t="n">
        <v>0.74</v>
      </c>
      <c r="T55" s="9" t="n">
        <v>0.83</v>
      </c>
      <c r="U55" s="9" t="n">
        <v>0.4</v>
      </c>
      <c r="V55" s="9" t="n">
        <v>0.75</v>
      </c>
      <c r="W55" s="22" t="n">
        <f aca="false">SUM(S55:V55)</f>
        <v>2.72</v>
      </c>
      <c r="X55" s="23" t="n">
        <f aca="false">S55/$W55</f>
        <v>0.272058823529412</v>
      </c>
      <c r="Y55" s="23" t="n">
        <f aca="false">T55/$W55</f>
        <v>0.305147058823529</v>
      </c>
      <c r="Z55" s="23" t="n">
        <f aca="false">U55/$W55</f>
        <v>0.147058823529412</v>
      </c>
      <c r="AA55" s="23" t="n">
        <f aca="false">V55/$W55</f>
        <v>0.275735294117647</v>
      </c>
      <c r="AB55" s="23" t="n">
        <f aca="false">SUM(X55:AA55)</f>
        <v>1</v>
      </c>
      <c r="AC55" s="6" t="n">
        <f aca="false" t="array" ref="AC55:AC55">MMULT(MMULT(X55:AA55,$N$2:$Q$5),TRANSPOSE(X55:AA55))</f>
        <v>0.000234783505096279</v>
      </c>
      <c r="AD55" s="6" t="n">
        <f aca="false">SUMPRODUCT(X55:AA55,$E$237:$H$237)</f>
        <v>-0.000229558733295622</v>
      </c>
      <c r="AE55" s="24" t="n">
        <f aca="false">(AD55-$I$2)/SQRT(AC55)</f>
        <v>-0.0419440802046083</v>
      </c>
      <c r="AF55" s="6" t="n">
        <f aca="false">AD55</f>
        <v>-0.000229558733295622</v>
      </c>
      <c r="AG55" s="6" t="n">
        <f aca="false">AC55</f>
        <v>0.000234783505096279</v>
      </c>
      <c r="AH55" s="23" t="n">
        <f aca="false">X55</f>
        <v>0.272058823529412</v>
      </c>
      <c r="AI55" s="23" t="n">
        <f aca="false">Y55</f>
        <v>0.305147058823529</v>
      </c>
      <c r="AJ55" s="23" t="n">
        <f aca="false">Z55</f>
        <v>0.147058823529412</v>
      </c>
      <c r="AK55" s="23" t="n">
        <f aca="false">AA55</f>
        <v>0.275735294117647</v>
      </c>
    </row>
    <row r="56" customFormat="false" ht="15" hidden="false" customHeight="true" outlineLevel="0" collapsed="false">
      <c r="A56" s="22" t="n">
        <f aca="false">aci!H57</f>
        <v>148.4</v>
      </c>
      <c r="B56" s="22" t="n">
        <f aca="false">apexfoot!H57</f>
        <v>197.7</v>
      </c>
      <c r="C56" s="22" t="n">
        <f aca="false">bxpharma!H57</f>
        <v>75.6</v>
      </c>
      <c r="D56" s="22" t="n">
        <f aca="false">batbc!H57</f>
        <v>357.5</v>
      </c>
      <c r="E56" s="6" t="n">
        <f aca="false">LN(A55/A56)</f>
        <v>0.0318329265732108</v>
      </c>
      <c r="F56" s="6" t="n">
        <f aca="false">LN(B55/B56)</f>
        <v>-0.0132384825475056</v>
      </c>
      <c r="G56" s="6" t="n">
        <f aca="false">LN(C55/C56)</f>
        <v>0.00790517950711347</v>
      </c>
      <c r="H56" s="6" t="n">
        <f aca="false">LN(D55/D56)</f>
        <v>-0.0118178077689627</v>
      </c>
      <c r="I56" s="6" t="n">
        <f aca="false">E56-$I$2</f>
        <v>0.0314197909799904</v>
      </c>
      <c r="J56" s="6" t="n">
        <f aca="false">F56-$J$2</f>
        <v>-0.013651618140726</v>
      </c>
      <c r="K56" s="6" t="n">
        <f aca="false">G56-$K$2</f>
        <v>0.00749204391389313</v>
      </c>
      <c r="L56" s="6" t="n">
        <f aca="false">H56-$L$2</f>
        <v>-0.0122309433621831</v>
      </c>
      <c r="S56" s="9" t="n">
        <v>0.65</v>
      </c>
      <c r="T56" s="9" t="n">
        <v>0.34</v>
      </c>
      <c r="U56" s="9" t="n">
        <v>0.35</v>
      </c>
      <c r="V56" s="9" t="n">
        <v>0.41</v>
      </c>
      <c r="W56" s="22" t="n">
        <f aca="false">SUM(S56:V56)</f>
        <v>1.75</v>
      </c>
      <c r="X56" s="23" t="n">
        <f aca="false">S56/$W56</f>
        <v>0.371428571428571</v>
      </c>
      <c r="Y56" s="23" t="n">
        <f aca="false">T56/$W56</f>
        <v>0.194285714285714</v>
      </c>
      <c r="Z56" s="23" t="n">
        <f aca="false">U56/$W56</f>
        <v>0.2</v>
      </c>
      <c r="AA56" s="23" t="n">
        <f aca="false">V56/$W56</f>
        <v>0.234285714285714</v>
      </c>
      <c r="AB56" s="23" t="n">
        <f aca="false">SUM(X56:AA56)</f>
        <v>1</v>
      </c>
      <c r="AC56" s="6" t="n">
        <f aca="false" t="array" ref="AC56:AC56">MMULT(MMULT(X56:AA56,$N$2:$Q$5),TRANSPOSE(X56:AA56))</f>
        <v>0.000272385494211886</v>
      </c>
      <c r="AD56" s="6" t="n">
        <f aca="false">SUMPRODUCT(X56:AA56,$E$237:$H$237)</f>
        <v>-2.93384943387354E-005</v>
      </c>
      <c r="AE56" s="24" t="n">
        <f aca="false">(AD56-$I$2)/SQRT(AC56)</f>
        <v>-0.0268099407704527</v>
      </c>
      <c r="AF56" s="6" t="n">
        <f aca="false">AD56</f>
        <v>-2.93384943387354E-005</v>
      </c>
      <c r="AG56" s="6" t="n">
        <f aca="false">AC56</f>
        <v>0.000272385494211886</v>
      </c>
      <c r="AH56" s="23" t="n">
        <f aca="false">X56</f>
        <v>0.371428571428571</v>
      </c>
      <c r="AI56" s="23" t="n">
        <f aca="false">Y56</f>
        <v>0.194285714285714</v>
      </c>
      <c r="AJ56" s="23" t="n">
        <f aca="false">Z56</f>
        <v>0.2</v>
      </c>
      <c r="AK56" s="23" t="n">
        <f aca="false">AA56</f>
        <v>0.234285714285714</v>
      </c>
    </row>
    <row r="57" customFormat="false" ht="15" hidden="false" customHeight="true" outlineLevel="0" collapsed="false">
      <c r="A57" s="22" t="n">
        <f aca="false">aci!H58</f>
        <v>148</v>
      </c>
      <c r="B57" s="22" t="n">
        <f aca="false">apexfoot!H58</f>
        <v>197.9</v>
      </c>
      <c r="C57" s="22" t="n">
        <f aca="false">bxpharma!H58</f>
        <v>75.3</v>
      </c>
      <c r="D57" s="22" t="n">
        <f aca="false">batbc!H58</f>
        <v>355</v>
      </c>
      <c r="E57" s="6" t="n">
        <f aca="false">LN(A56/A57)</f>
        <v>0.00269905696916498</v>
      </c>
      <c r="F57" s="6" t="n">
        <f aca="false">LN(B56/B57)</f>
        <v>-0.00101112243194887</v>
      </c>
      <c r="G57" s="6" t="n">
        <f aca="false">LN(C56/C57)</f>
        <v>0.00397614837963942</v>
      </c>
      <c r="H57" s="6" t="n">
        <f aca="false">LN(D56/D57)</f>
        <v>0.00701757265864654</v>
      </c>
      <c r="I57" s="6" t="n">
        <f aca="false">E57-$I$2</f>
        <v>0.00228592137594464</v>
      </c>
      <c r="J57" s="6" t="n">
        <f aca="false">F57-$J$2</f>
        <v>-0.00142425802516921</v>
      </c>
      <c r="K57" s="6" t="n">
        <f aca="false">G57-$K$2</f>
        <v>0.00356301278641908</v>
      </c>
      <c r="L57" s="6" t="n">
        <f aca="false">H57-$L$2</f>
        <v>0.0066044370654262</v>
      </c>
      <c r="S57" s="9" t="n">
        <v>0.57</v>
      </c>
      <c r="T57" s="9" t="n">
        <v>0.23</v>
      </c>
      <c r="U57" s="9" t="n">
        <v>0.24</v>
      </c>
      <c r="V57" s="9" t="n">
        <v>0.93</v>
      </c>
      <c r="W57" s="22" t="n">
        <f aca="false">SUM(S57:V57)</f>
        <v>1.97</v>
      </c>
      <c r="X57" s="23" t="n">
        <f aca="false">S57/$W57</f>
        <v>0.289340101522843</v>
      </c>
      <c r="Y57" s="23" t="n">
        <f aca="false">T57/$W57</f>
        <v>0.116751269035533</v>
      </c>
      <c r="Z57" s="23" t="n">
        <f aca="false">U57/$W57</f>
        <v>0.121827411167513</v>
      </c>
      <c r="AA57" s="23" t="n">
        <f aca="false">V57/$W57</f>
        <v>0.472081218274112</v>
      </c>
      <c r="AB57" s="23" t="n">
        <f aca="false">SUM(X57:AA57)</f>
        <v>1</v>
      </c>
      <c r="AC57" s="6" t="n">
        <f aca="false" t="array" ref="AC57:AC57">MMULT(MMULT(X57:AA57,$N$2:$Q$5),TRANSPOSE(X57:AA57))</f>
        <v>0.000268902115071589</v>
      </c>
      <c r="AD57" s="6" t="n">
        <f aca="false">SUMPRODUCT(X57:AA57,$E$237:$H$237)</f>
        <v>-0.000273289417556292</v>
      </c>
      <c r="AE57" s="24" t="n">
        <f aca="false">(AD57-$I$2)/SQRT(AC57)</f>
        <v>-0.0418596882973647</v>
      </c>
      <c r="AF57" s="6" t="n">
        <f aca="false">AD57</f>
        <v>-0.000273289417556292</v>
      </c>
      <c r="AG57" s="6" t="n">
        <f aca="false">AC57</f>
        <v>0.000268902115071589</v>
      </c>
      <c r="AH57" s="23" t="n">
        <f aca="false">X57</f>
        <v>0.289340101522843</v>
      </c>
      <c r="AI57" s="23" t="n">
        <f aca="false">Y57</f>
        <v>0.116751269035533</v>
      </c>
      <c r="AJ57" s="23" t="n">
        <f aca="false">Z57</f>
        <v>0.121827411167513</v>
      </c>
      <c r="AK57" s="23" t="n">
        <f aca="false">AA57</f>
        <v>0.472081218274112</v>
      </c>
    </row>
    <row r="58" customFormat="false" ht="15" hidden="false" customHeight="true" outlineLevel="0" collapsed="false">
      <c r="A58" s="22" t="n">
        <f aca="false">aci!H59</f>
        <v>149.3</v>
      </c>
      <c r="B58" s="22" t="n">
        <f aca="false">apexfoot!H59</f>
        <v>196.9</v>
      </c>
      <c r="C58" s="22" t="n">
        <f aca="false">bxpharma!H59</f>
        <v>77.6</v>
      </c>
      <c r="D58" s="22" t="n">
        <f aca="false">batbc!H59</f>
        <v>354.4</v>
      </c>
      <c r="E58" s="6" t="n">
        <f aca="false">LN(A57/A58)</f>
        <v>-0.00874543078102977</v>
      </c>
      <c r="F58" s="6" t="n">
        <f aca="false">LN(B57/B58)</f>
        <v>0.00506586696344023</v>
      </c>
      <c r="G58" s="6" t="n">
        <f aca="false">LN(C57/C58)</f>
        <v>-0.0300872923833252</v>
      </c>
      <c r="H58" s="6" t="n">
        <f aca="false">LN(D57/D58)</f>
        <v>0.00169157074449005</v>
      </c>
      <c r="I58" s="6" t="n">
        <f aca="false">E58-$I$2</f>
        <v>-0.00915856637425011</v>
      </c>
      <c r="J58" s="6" t="n">
        <f aca="false">F58-$J$2</f>
        <v>0.00465273137021989</v>
      </c>
      <c r="K58" s="6" t="n">
        <f aca="false">G58-$K$2</f>
        <v>-0.0305004279765455</v>
      </c>
      <c r="L58" s="6" t="n">
        <f aca="false">H58-$L$2</f>
        <v>0.00127843515126972</v>
      </c>
      <c r="S58" s="9" t="n">
        <v>0.74</v>
      </c>
      <c r="T58" s="9" t="n">
        <v>0.34</v>
      </c>
      <c r="U58" s="9" t="n">
        <v>0.06</v>
      </c>
      <c r="V58" s="9" t="n">
        <v>0.97</v>
      </c>
      <c r="W58" s="22" t="n">
        <f aca="false">SUM(S58:V58)</f>
        <v>2.11</v>
      </c>
      <c r="X58" s="23" t="n">
        <f aca="false">S58/$W58</f>
        <v>0.350710900473934</v>
      </c>
      <c r="Y58" s="23" t="n">
        <f aca="false">T58/$W58</f>
        <v>0.161137440758294</v>
      </c>
      <c r="Z58" s="23" t="n">
        <f aca="false">U58/$W58</f>
        <v>0.028436018957346</v>
      </c>
      <c r="AA58" s="23" t="n">
        <f aca="false">V58/$W58</f>
        <v>0.459715639810426</v>
      </c>
      <c r="AB58" s="23" t="n">
        <f aca="false">SUM(X58:AA58)</f>
        <v>1</v>
      </c>
      <c r="AC58" s="6" t="n">
        <f aca="false" t="array" ref="AC58:AC58">MMULT(MMULT(X58:AA58,$N$2:$Q$5),TRANSPOSE(X58:AA58))</f>
        <v>0.000297906938703784</v>
      </c>
      <c r="AD58" s="6" t="n">
        <f aca="false">SUMPRODUCT(X58:AA58,$E$237:$H$237)</f>
        <v>-0.000184571150773145</v>
      </c>
      <c r="AE58" s="24" t="n">
        <f aca="false">(AD58-$I$2)/SQRT(AC58)</f>
        <v>-0.0346296296286346</v>
      </c>
      <c r="AF58" s="6" t="n">
        <f aca="false">AD58</f>
        <v>-0.000184571150773145</v>
      </c>
      <c r="AG58" s="6" t="n">
        <f aca="false">AC58</f>
        <v>0.000297906938703784</v>
      </c>
      <c r="AH58" s="23" t="n">
        <f aca="false">X58</f>
        <v>0.350710900473934</v>
      </c>
      <c r="AI58" s="23" t="n">
        <f aca="false">Y58</f>
        <v>0.161137440758294</v>
      </c>
      <c r="AJ58" s="23" t="n">
        <f aca="false">Z58</f>
        <v>0.028436018957346</v>
      </c>
      <c r="AK58" s="23" t="n">
        <f aca="false">AA58</f>
        <v>0.459715639810426</v>
      </c>
    </row>
    <row r="59" customFormat="false" ht="15" hidden="false" customHeight="true" outlineLevel="0" collapsed="false">
      <c r="A59" s="22" t="n">
        <f aca="false">aci!H60</f>
        <v>153.5</v>
      </c>
      <c r="B59" s="22" t="n">
        <f aca="false">apexfoot!H60</f>
        <v>198.7</v>
      </c>
      <c r="C59" s="22" t="n">
        <f aca="false">bxpharma!H60</f>
        <v>78.2</v>
      </c>
      <c r="D59" s="22" t="n">
        <f aca="false">batbc!H60</f>
        <v>356.1</v>
      </c>
      <c r="E59" s="6" t="n">
        <f aca="false">LN(A58/A59)</f>
        <v>-0.027742862482107</v>
      </c>
      <c r="F59" s="6" t="n">
        <f aca="false">LN(B58/B59)</f>
        <v>-0.00910016391269117</v>
      </c>
      <c r="G59" s="6" t="n">
        <f aca="false">LN(C58/C59)</f>
        <v>-0.00770222036209246</v>
      </c>
      <c r="H59" s="6" t="n">
        <f aca="false">LN(D58/D59)</f>
        <v>-0.00478537155280631</v>
      </c>
      <c r="I59" s="6" t="n">
        <f aca="false">E59-$I$2</f>
        <v>-0.0281559980753274</v>
      </c>
      <c r="J59" s="6" t="n">
        <f aca="false">F59-$J$2</f>
        <v>-0.00951329950591151</v>
      </c>
      <c r="K59" s="6" t="n">
        <f aca="false">G59-$K$2</f>
        <v>-0.0081153559553128</v>
      </c>
      <c r="L59" s="6" t="n">
        <f aca="false">H59-$L$2</f>
        <v>-0.00519850714602665</v>
      </c>
      <c r="S59" s="9" t="n">
        <v>0.53</v>
      </c>
      <c r="T59" s="9" t="n">
        <v>0.58</v>
      </c>
      <c r="U59" s="9" t="n">
        <v>0.33</v>
      </c>
      <c r="V59" s="9" t="n">
        <v>0.7</v>
      </c>
      <c r="W59" s="22" t="n">
        <f aca="false">SUM(S59:V59)</f>
        <v>2.14</v>
      </c>
      <c r="X59" s="23" t="n">
        <f aca="false">S59/$W59</f>
        <v>0.247663551401869</v>
      </c>
      <c r="Y59" s="23" t="n">
        <f aca="false">T59/$W59</f>
        <v>0.271028037383178</v>
      </c>
      <c r="Z59" s="23" t="n">
        <f aca="false">U59/$W59</f>
        <v>0.154205607476636</v>
      </c>
      <c r="AA59" s="23" t="n">
        <f aca="false">V59/$W59</f>
        <v>0.327102803738318</v>
      </c>
      <c r="AB59" s="23" t="n">
        <f aca="false">SUM(X59:AA59)</f>
        <v>1</v>
      </c>
      <c r="AC59" s="6" t="n">
        <f aca="false" t="array" ref="AC59:AC59">MMULT(MMULT(X59:AA59,$N$2:$Q$5),TRANSPOSE(X59:AA59))</f>
        <v>0.00023114794843048</v>
      </c>
      <c r="AD59" s="6" t="n">
        <f aca="false">SUMPRODUCT(X59:AA59,$E$237:$H$237)</f>
        <v>-0.000288077909077103</v>
      </c>
      <c r="AE59" s="24" t="n">
        <f aca="false">(AD59-$I$2)/SQRT(AC59)</f>
        <v>-0.0461216938339701</v>
      </c>
      <c r="AF59" s="6" t="n">
        <f aca="false">AD59</f>
        <v>-0.000288077909077103</v>
      </c>
      <c r="AG59" s="6" t="n">
        <f aca="false">AC59</f>
        <v>0.00023114794843048</v>
      </c>
      <c r="AH59" s="23" t="n">
        <f aca="false">X59</f>
        <v>0.247663551401869</v>
      </c>
      <c r="AI59" s="23" t="n">
        <f aca="false">Y59</f>
        <v>0.271028037383178</v>
      </c>
      <c r="AJ59" s="23" t="n">
        <f aca="false">Z59</f>
        <v>0.154205607476636</v>
      </c>
      <c r="AK59" s="23" t="n">
        <f aca="false">AA59</f>
        <v>0.327102803738318</v>
      </c>
    </row>
    <row r="60" customFormat="false" ht="15" hidden="false" customHeight="true" outlineLevel="0" collapsed="false">
      <c r="A60" s="22" t="n">
        <f aca="false">aci!H61</f>
        <v>149.9</v>
      </c>
      <c r="B60" s="22" t="n">
        <f aca="false">apexfoot!H61</f>
        <v>198.8</v>
      </c>
      <c r="C60" s="22" t="n">
        <f aca="false">bxpharma!H61</f>
        <v>78.5</v>
      </c>
      <c r="D60" s="22" t="n">
        <f aca="false">batbc!H61</f>
        <v>353.7</v>
      </c>
      <c r="E60" s="6" t="n">
        <f aca="false">LN(A59/A60)</f>
        <v>0.0237321619186999</v>
      </c>
      <c r="F60" s="6" t="n">
        <f aca="false">LN(B59/B60)</f>
        <v>-0.000503144664702639</v>
      </c>
      <c r="G60" s="6" t="n">
        <f aca="false">LN(C59/C60)</f>
        <v>-0.00382897723709735</v>
      </c>
      <c r="H60" s="6" t="n">
        <f aca="false">LN(D59/D60)</f>
        <v>0.00676249407229717</v>
      </c>
      <c r="I60" s="6" t="n">
        <f aca="false">E60-$I$2</f>
        <v>0.0233190263254795</v>
      </c>
      <c r="J60" s="6" t="n">
        <f aca="false">F60-$J$2</f>
        <v>-0.000916280257922978</v>
      </c>
      <c r="K60" s="6" t="n">
        <f aca="false">G60-$K$2</f>
        <v>-0.00424211283031769</v>
      </c>
      <c r="L60" s="6" t="n">
        <f aca="false">H60-$L$2</f>
        <v>0.00634935847907683</v>
      </c>
      <c r="S60" s="9" t="n">
        <v>0.31</v>
      </c>
      <c r="T60" s="9" t="n">
        <v>0.12</v>
      </c>
      <c r="U60" s="9" t="n">
        <v>0.37</v>
      </c>
      <c r="V60" s="9" t="n">
        <v>0.14</v>
      </c>
      <c r="W60" s="22" t="n">
        <f aca="false">SUM(S60:V60)</f>
        <v>0.94</v>
      </c>
      <c r="X60" s="23" t="n">
        <f aca="false">S60/$W60</f>
        <v>0.329787234042553</v>
      </c>
      <c r="Y60" s="23" t="n">
        <f aca="false">T60/$W60</f>
        <v>0.127659574468085</v>
      </c>
      <c r="Z60" s="23" t="n">
        <f aca="false">U60/$W60</f>
        <v>0.393617021276596</v>
      </c>
      <c r="AA60" s="23" t="n">
        <f aca="false">V60/$W60</f>
        <v>0.148936170212766</v>
      </c>
      <c r="AB60" s="23" t="n">
        <f aca="false">SUM(X60:AA60)</f>
        <v>1</v>
      </c>
      <c r="AC60" s="6" t="n">
        <f aca="false" t="array" ref="AC60:AC60">MMULT(MMULT(X60:AA60,$N$2:$Q$5),TRANSPOSE(X60:AA60))</f>
        <v>0.000285189794014033</v>
      </c>
      <c r="AD60" s="6" t="n">
        <f aca="false">SUMPRODUCT(X60:AA60,$E$237:$H$237)</f>
        <v>-2.5809249362031E-005</v>
      </c>
      <c r="AE60" s="24" t="n">
        <f aca="false">(AD60-$I$2)/SQRT(AC60)</f>
        <v>-0.0259921952585273</v>
      </c>
      <c r="AF60" s="6" t="n">
        <f aca="false">AD60</f>
        <v>-2.5809249362031E-005</v>
      </c>
      <c r="AG60" s="6" t="n">
        <f aca="false">AC60</f>
        <v>0.000285189794014033</v>
      </c>
      <c r="AH60" s="23" t="n">
        <f aca="false">X60</f>
        <v>0.329787234042553</v>
      </c>
      <c r="AI60" s="23" t="n">
        <f aca="false">Y60</f>
        <v>0.127659574468085</v>
      </c>
      <c r="AJ60" s="23" t="n">
        <f aca="false">Z60</f>
        <v>0.393617021276596</v>
      </c>
      <c r="AK60" s="23" t="n">
        <f aca="false">AA60</f>
        <v>0.148936170212766</v>
      </c>
    </row>
    <row r="61" customFormat="false" ht="15" hidden="false" customHeight="true" outlineLevel="0" collapsed="false">
      <c r="A61" s="22" t="n">
        <f aca="false">aci!H62</f>
        <v>147.7</v>
      </c>
      <c r="B61" s="22" t="n">
        <f aca="false">apexfoot!H62</f>
        <v>198.6</v>
      </c>
      <c r="C61" s="22" t="n">
        <f aca="false">bxpharma!H62</f>
        <v>79</v>
      </c>
      <c r="D61" s="22" t="n">
        <f aca="false">batbc!H62</f>
        <v>355.1</v>
      </c>
      <c r="E61" s="6" t="n">
        <f aca="false">LN(A60/A61)</f>
        <v>0.014785215571218</v>
      </c>
      <c r="F61" s="6" t="n">
        <f aca="false">LN(B60/B61)</f>
        <v>0.00100654261140147</v>
      </c>
      <c r="G61" s="6" t="n">
        <f aca="false">LN(C60/C61)</f>
        <v>-0.00634922767865878</v>
      </c>
      <c r="H61" s="6" t="n">
        <f aca="false">LN(D60/D61)</f>
        <v>-0.00395034373760734</v>
      </c>
      <c r="I61" s="6" t="n">
        <f aca="false">E61-$I$2</f>
        <v>0.0143720799779976</v>
      </c>
      <c r="J61" s="6" t="n">
        <f aca="false">F61-$J$2</f>
        <v>0.000593407018181133</v>
      </c>
      <c r="K61" s="6" t="n">
        <f aca="false">G61-$K$2</f>
        <v>-0.00676236327187912</v>
      </c>
      <c r="L61" s="6" t="n">
        <f aca="false">H61-$L$2</f>
        <v>-0.00436347933082768</v>
      </c>
      <c r="S61" s="9" t="n">
        <v>0.91</v>
      </c>
      <c r="T61" s="9" t="n">
        <v>0.71</v>
      </c>
      <c r="U61" s="9" t="n">
        <v>0.66</v>
      </c>
      <c r="V61" s="9" t="n">
        <v>0.86</v>
      </c>
      <c r="W61" s="22" t="n">
        <f aca="false">SUM(S61:V61)</f>
        <v>3.14</v>
      </c>
      <c r="X61" s="23" t="n">
        <f aca="false">S61/$W61</f>
        <v>0.289808917197452</v>
      </c>
      <c r="Y61" s="23" t="n">
        <f aca="false">T61/$W61</f>
        <v>0.226114649681529</v>
      </c>
      <c r="Z61" s="23" t="n">
        <f aca="false">U61/$W61</f>
        <v>0.210191082802548</v>
      </c>
      <c r="AA61" s="23" t="n">
        <f aca="false">V61/$W61</f>
        <v>0.273885350318471</v>
      </c>
      <c r="AB61" s="23" t="n">
        <f aca="false">SUM(X61:AA61)</f>
        <v>1</v>
      </c>
      <c r="AC61" s="6" t="n">
        <f aca="false" t="array" ref="AC61:AC61">MMULT(MMULT(X61:AA61,$N$2:$Q$5),TRANSPOSE(X61:AA61))</f>
        <v>0.000242675737872396</v>
      </c>
      <c r="AD61" s="6" t="n">
        <f aca="false">SUMPRODUCT(X61:AA61,$E$237:$H$237)</f>
        <v>-0.000182782379973537</v>
      </c>
      <c r="AE61" s="24" t="n">
        <f aca="false">(AD61-$I$2)/SQRT(AC61)</f>
        <v>-0.0382536874152135</v>
      </c>
      <c r="AF61" s="6" t="n">
        <f aca="false">AD61</f>
        <v>-0.000182782379973537</v>
      </c>
      <c r="AG61" s="6" t="n">
        <f aca="false">AC61</f>
        <v>0.000242675737872396</v>
      </c>
      <c r="AH61" s="23" t="n">
        <f aca="false">X61</f>
        <v>0.289808917197452</v>
      </c>
      <c r="AI61" s="23" t="n">
        <f aca="false">Y61</f>
        <v>0.226114649681529</v>
      </c>
      <c r="AJ61" s="23" t="n">
        <f aca="false">Z61</f>
        <v>0.210191082802548</v>
      </c>
      <c r="AK61" s="23" t="n">
        <f aca="false">AA61</f>
        <v>0.273885350318471</v>
      </c>
    </row>
    <row r="62" customFormat="false" ht="15" hidden="false" customHeight="true" outlineLevel="0" collapsed="false">
      <c r="A62" s="22" t="n">
        <f aca="false">aci!H63</f>
        <v>146.4</v>
      </c>
      <c r="B62" s="22" t="n">
        <f aca="false">apexfoot!H63</f>
        <v>198.1</v>
      </c>
      <c r="C62" s="22" t="n">
        <f aca="false">bxpharma!H63</f>
        <v>79.7</v>
      </c>
      <c r="D62" s="22" t="n">
        <f aca="false">batbc!H63</f>
        <v>356.5</v>
      </c>
      <c r="E62" s="6" t="n">
        <f aca="false">LN(A61/A62)</f>
        <v>0.00884058801012275</v>
      </c>
      <c r="F62" s="6" t="n">
        <f aca="false">LN(B61/B62)</f>
        <v>0.0025207979065669</v>
      </c>
      <c r="G62" s="6" t="n">
        <f aca="false">LN(C61/C62)</f>
        <v>-0.00882173332914788</v>
      </c>
      <c r="H62" s="6" t="n">
        <f aca="false">LN(D61/D62)</f>
        <v>-0.00393479990530838</v>
      </c>
      <c r="I62" s="6" t="n">
        <f aca="false">E62-$I$2</f>
        <v>0.00842745241690241</v>
      </c>
      <c r="J62" s="6" t="n">
        <f aca="false">F62-$J$2</f>
        <v>0.00210766231334656</v>
      </c>
      <c r="K62" s="6" t="n">
        <f aca="false">G62-$K$2</f>
        <v>-0.00923486892236822</v>
      </c>
      <c r="L62" s="6" t="n">
        <f aca="false">H62-$L$2</f>
        <v>-0.00434793549852872</v>
      </c>
      <c r="S62" s="9" t="n">
        <v>0.89</v>
      </c>
      <c r="T62" s="9" t="n">
        <v>0.09</v>
      </c>
      <c r="U62" s="9" t="n">
        <v>0.9</v>
      </c>
      <c r="V62" s="9" t="n">
        <v>0.36</v>
      </c>
      <c r="W62" s="22" t="n">
        <f aca="false">SUM(S62:V62)</f>
        <v>2.24</v>
      </c>
      <c r="X62" s="23" t="n">
        <f aca="false">S62/$W62</f>
        <v>0.397321428571429</v>
      </c>
      <c r="Y62" s="23" t="n">
        <f aca="false">T62/$W62</f>
        <v>0.0401785714285714</v>
      </c>
      <c r="Z62" s="23" t="n">
        <f aca="false">U62/$W62</f>
        <v>0.401785714285714</v>
      </c>
      <c r="AA62" s="23" t="n">
        <f aca="false">V62/$W62</f>
        <v>0.160714285714286</v>
      </c>
      <c r="AB62" s="23" t="n">
        <f aca="false">SUM(X62:AA62)</f>
        <v>1</v>
      </c>
      <c r="AC62" s="6" t="n">
        <f aca="false" t="array" ref="AC62:AC62">MMULT(MMULT(X62:AA62,$N$2:$Q$5),TRANSPOSE(X62:AA62))</f>
        <v>0.000325154602931422</v>
      </c>
      <c r="AD62" s="6" t="n">
        <f aca="false">SUMPRODUCT(X62:AA62,$E$237:$H$237)</f>
        <v>8.97787044768671E-005</v>
      </c>
      <c r="AE62" s="24" t="n">
        <f aca="false">(AD62-$I$2)/SQRT(AC62)</f>
        <v>-0.0179323482498671</v>
      </c>
      <c r="AF62" s="6" t="n">
        <f aca="false">AD62</f>
        <v>8.97787044768671E-005</v>
      </c>
      <c r="AG62" s="6" t="n">
        <f aca="false">AC62</f>
        <v>0.000325154602931422</v>
      </c>
      <c r="AH62" s="23" t="n">
        <f aca="false">X62</f>
        <v>0.397321428571429</v>
      </c>
      <c r="AI62" s="23" t="n">
        <f aca="false">Y62</f>
        <v>0.0401785714285714</v>
      </c>
      <c r="AJ62" s="23" t="n">
        <f aca="false">Z62</f>
        <v>0.401785714285714</v>
      </c>
      <c r="AK62" s="23" t="n">
        <f aca="false">AA62</f>
        <v>0.160714285714286</v>
      </c>
    </row>
    <row r="63" customFormat="false" ht="15" hidden="false" customHeight="true" outlineLevel="0" collapsed="false">
      <c r="A63" s="22" t="n">
        <f aca="false">aci!H64</f>
        <v>145</v>
      </c>
      <c r="B63" s="22" t="n">
        <f aca="false">apexfoot!H64</f>
        <v>198.7</v>
      </c>
      <c r="C63" s="22" t="n">
        <f aca="false">bxpharma!H64</f>
        <v>78.9</v>
      </c>
      <c r="D63" s="22" t="n">
        <f aca="false">batbc!H64</f>
        <v>356.3</v>
      </c>
      <c r="E63" s="6" t="n">
        <f aca="false">LN(A62/A63)</f>
        <v>0.00960885910663689</v>
      </c>
      <c r="F63" s="6" t="n">
        <f aca="false">LN(B62/B63)</f>
        <v>-0.00302419585326591</v>
      </c>
      <c r="G63" s="6" t="n">
        <f aca="false">LN(C62/C63)</f>
        <v>0.0100883579443407</v>
      </c>
      <c r="H63" s="6" t="n">
        <f aca="false">LN(D62/D63)</f>
        <v>0.00056116724256013</v>
      </c>
      <c r="I63" s="6" t="n">
        <f aca="false">E63-$I$2</f>
        <v>0.00919572351341655</v>
      </c>
      <c r="J63" s="6" t="n">
        <f aca="false">F63-$J$2</f>
        <v>-0.00343733144648625</v>
      </c>
      <c r="K63" s="6" t="n">
        <f aca="false">G63-$K$2</f>
        <v>0.0096752223511204</v>
      </c>
      <c r="L63" s="6" t="n">
        <f aca="false">H63-$L$2</f>
        <v>0.000148031649339791</v>
      </c>
      <c r="S63" s="9" t="n">
        <v>0.91</v>
      </c>
      <c r="T63" s="9" t="n">
        <v>0.63</v>
      </c>
      <c r="U63" s="9" t="n">
        <v>0.7</v>
      </c>
      <c r="V63" s="9" t="n">
        <v>0.86</v>
      </c>
      <c r="W63" s="22" t="n">
        <f aca="false">SUM(S63:V63)</f>
        <v>3.1</v>
      </c>
      <c r="X63" s="23" t="n">
        <f aca="false">S63/$W63</f>
        <v>0.293548387096774</v>
      </c>
      <c r="Y63" s="23" t="n">
        <f aca="false">T63/$W63</f>
        <v>0.203225806451613</v>
      </c>
      <c r="Z63" s="23" t="n">
        <f aca="false">U63/$W63</f>
        <v>0.225806451612903</v>
      </c>
      <c r="AA63" s="23" t="n">
        <f aca="false">V63/$W63</f>
        <v>0.27741935483871</v>
      </c>
      <c r="AB63" s="23" t="n">
        <f aca="false">SUM(X63:AA63)</f>
        <v>1</v>
      </c>
      <c r="AC63" s="6" t="n">
        <f aca="false" t="array" ref="AC63:AC63">MMULT(MMULT(X63:AA63,$N$2:$Q$5),TRANSPOSE(X63:AA63))</f>
        <v>0.000245947632532064</v>
      </c>
      <c r="AD63" s="6" t="n">
        <f aca="false">SUMPRODUCT(X63:AA63,$E$237:$H$237)</f>
        <v>-0.000173724484450995</v>
      </c>
      <c r="AE63" s="24" t="n">
        <f aca="false">(AD63-$I$2)/SQRT(AC63)</f>
        <v>-0.0374208151415594</v>
      </c>
      <c r="AF63" s="6" t="n">
        <f aca="false">AD63</f>
        <v>-0.000173724484450995</v>
      </c>
      <c r="AG63" s="6" t="n">
        <f aca="false">AC63</f>
        <v>0.000245947632532064</v>
      </c>
      <c r="AH63" s="23" t="n">
        <f aca="false">X63</f>
        <v>0.293548387096774</v>
      </c>
      <c r="AI63" s="23" t="n">
        <f aca="false">Y63</f>
        <v>0.203225806451613</v>
      </c>
      <c r="AJ63" s="23" t="n">
        <f aca="false">Z63</f>
        <v>0.225806451612903</v>
      </c>
      <c r="AK63" s="23" t="n">
        <f aca="false">AA63</f>
        <v>0.27741935483871</v>
      </c>
    </row>
    <row r="64" customFormat="false" ht="15" hidden="false" customHeight="true" outlineLevel="0" collapsed="false">
      <c r="A64" s="22" t="n">
        <f aca="false">aci!H65</f>
        <v>142.7</v>
      </c>
      <c r="B64" s="22" t="n">
        <f aca="false">apexfoot!H65</f>
        <v>197.1</v>
      </c>
      <c r="C64" s="22" t="n">
        <f aca="false">bxpharma!H65</f>
        <v>78.2</v>
      </c>
      <c r="D64" s="22" t="n">
        <f aca="false">batbc!H65</f>
        <v>360</v>
      </c>
      <c r="E64" s="6" t="n">
        <f aca="false">LN(A63/A64)</f>
        <v>0.0159892179377838</v>
      </c>
      <c r="F64" s="6" t="n">
        <f aca="false">LN(B63/B64)</f>
        <v>0.00808493539909664</v>
      </c>
      <c r="G64" s="6" t="n">
        <f aca="false">LN(C63/C64)</f>
        <v>0.00891158030056315</v>
      </c>
      <c r="H64" s="6" t="n">
        <f aca="false">LN(D63/D64)</f>
        <v>-0.0103309588383653</v>
      </c>
      <c r="I64" s="6" t="n">
        <f aca="false">E64-$I$2</f>
        <v>0.0155760823445635</v>
      </c>
      <c r="J64" s="6" t="n">
        <f aca="false">F64-$J$2</f>
        <v>0.00767179980587631</v>
      </c>
      <c r="K64" s="6" t="n">
        <f aca="false">G64-$K$2</f>
        <v>0.00849844470734281</v>
      </c>
      <c r="L64" s="6" t="n">
        <f aca="false">H64-$L$2</f>
        <v>-0.0107440944315856</v>
      </c>
      <c r="S64" s="9" t="n">
        <v>0.07</v>
      </c>
      <c r="T64" s="9" t="n">
        <v>0.41</v>
      </c>
      <c r="U64" s="9" t="n">
        <v>0.28</v>
      </c>
      <c r="V64" s="9" t="n">
        <v>0.32</v>
      </c>
      <c r="W64" s="22" t="n">
        <f aca="false">SUM(S64:V64)</f>
        <v>1.08</v>
      </c>
      <c r="X64" s="23" t="n">
        <f aca="false">S64/$W64</f>
        <v>0.0648148148148148</v>
      </c>
      <c r="Y64" s="23" t="n">
        <f aca="false">T64/$W64</f>
        <v>0.37962962962963</v>
      </c>
      <c r="Z64" s="23" t="n">
        <f aca="false">U64/$W64</f>
        <v>0.259259259259259</v>
      </c>
      <c r="AA64" s="23" t="n">
        <f aca="false">V64/$W64</f>
        <v>0.296296296296296</v>
      </c>
      <c r="AB64" s="23" t="n">
        <f aca="false">SUM(X64:AA64)</f>
        <v>1</v>
      </c>
      <c r="AC64" s="6" t="n">
        <f aca="false" t="array" ref="AC64:AC64">MMULT(MMULT(X64:AA64,$N$2:$Q$5),TRANSPOSE(X64:AA64))</f>
        <v>0.000196476416795503</v>
      </c>
      <c r="AD64" s="6" t="n">
        <f aca="false">SUMPRODUCT(X64:AA64,$E$237:$H$237)</f>
        <v>-0.000570774795639075</v>
      </c>
      <c r="AE64" s="24" t="n">
        <f aca="false">(AD64-$I$2)/SQRT(AC64)</f>
        <v>-0.0701940549956175</v>
      </c>
      <c r="AF64" s="6" t="n">
        <f aca="false">AD64</f>
        <v>-0.000570774795639075</v>
      </c>
      <c r="AG64" s="6" t="n">
        <f aca="false">AC64</f>
        <v>0.000196476416795503</v>
      </c>
      <c r="AH64" s="23" t="n">
        <f aca="false">X64</f>
        <v>0.0648148148148148</v>
      </c>
      <c r="AI64" s="23" t="n">
        <f aca="false">Y64</f>
        <v>0.37962962962963</v>
      </c>
      <c r="AJ64" s="23" t="n">
        <f aca="false">Z64</f>
        <v>0.259259259259259</v>
      </c>
      <c r="AK64" s="23" t="n">
        <f aca="false">AA64</f>
        <v>0.296296296296296</v>
      </c>
    </row>
    <row r="65" customFormat="false" ht="15" hidden="false" customHeight="true" outlineLevel="0" collapsed="false">
      <c r="A65" s="22" t="n">
        <f aca="false">aci!H66</f>
        <v>139.7</v>
      </c>
      <c r="B65" s="22" t="n">
        <f aca="false">apexfoot!H66</f>
        <v>199.8</v>
      </c>
      <c r="C65" s="22" t="n">
        <f aca="false">bxpharma!H66</f>
        <v>81.2</v>
      </c>
      <c r="D65" s="22" t="n">
        <f aca="false">batbc!H66</f>
        <v>368.6</v>
      </c>
      <c r="E65" s="6" t="n">
        <f aca="false">LN(A64/A65)</f>
        <v>0.0212472582198745</v>
      </c>
      <c r="F65" s="6" t="n">
        <f aca="false">LN(B64/B65)</f>
        <v>-0.0136056520557787</v>
      </c>
      <c r="G65" s="6" t="n">
        <f aca="false">LN(C64/C65)</f>
        <v>-0.0376455996163669</v>
      </c>
      <c r="H65" s="6" t="n">
        <f aca="false">LN(D64/D65)</f>
        <v>-0.0236080137855672</v>
      </c>
      <c r="I65" s="6" t="n">
        <f aca="false">E65-$I$2</f>
        <v>0.0208341226266542</v>
      </c>
      <c r="J65" s="6" t="n">
        <f aca="false">F65-$J$2</f>
        <v>-0.014018787648999</v>
      </c>
      <c r="K65" s="6" t="n">
        <f aca="false">G65-$K$2</f>
        <v>-0.0380587352095872</v>
      </c>
      <c r="L65" s="6" t="n">
        <f aca="false">H65-$L$2</f>
        <v>-0.0240211493787876</v>
      </c>
      <c r="S65" s="9" t="n">
        <v>0.9</v>
      </c>
      <c r="T65" s="9" t="n">
        <v>0.77</v>
      </c>
      <c r="U65" s="9" t="n">
        <v>0.08</v>
      </c>
      <c r="V65" s="9" t="n">
        <v>0.43</v>
      </c>
      <c r="W65" s="22" t="n">
        <f aca="false">SUM(S65:V65)</f>
        <v>2.18</v>
      </c>
      <c r="X65" s="23" t="n">
        <f aca="false">S65/$W65</f>
        <v>0.412844036697248</v>
      </c>
      <c r="Y65" s="23" t="n">
        <f aca="false">T65/$W65</f>
        <v>0.353211009174312</v>
      </c>
      <c r="Z65" s="23" t="n">
        <f aca="false">U65/$W65</f>
        <v>0.036697247706422</v>
      </c>
      <c r="AA65" s="23" t="n">
        <f aca="false">V65/$W65</f>
        <v>0.197247706422018</v>
      </c>
      <c r="AB65" s="23" t="n">
        <f aca="false">SUM(X65:AA65)</f>
        <v>1</v>
      </c>
      <c r="AC65" s="6" t="n">
        <f aca="false" t="array" ref="AC65:AC65">MMULT(MMULT(X65:AA65,$N$2:$Q$5),TRANSPOSE(X65:AA65))</f>
        <v>0.000290241917060115</v>
      </c>
      <c r="AD65" s="6" t="n">
        <f aca="false">SUMPRODUCT(X65:AA65,$E$237:$H$237)</f>
        <v>1.62817552181428E-005</v>
      </c>
      <c r="AE65" s="24" t="n">
        <f aca="false">(AD65-$I$2)/SQRT(AC65)</f>
        <v>-0.0232943457782407</v>
      </c>
      <c r="AF65" s="6" t="n">
        <f aca="false">AD65</f>
        <v>1.62817552181428E-005</v>
      </c>
      <c r="AG65" s="6" t="n">
        <f aca="false">AC65</f>
        <v>0.000290241917060115</v>
      </c>
      <c r="AH65" s="23" t="n">
        <f aca="false">X65</f>
        <v>0.412844036697248</v>
      </c>
      <c r="AI65" s="23" t="n">
        <f aca="false">Y65</f>
        <v>0.353211009174312</v>
      </c>
      <c r="AJ65" s="23" t="n">
        <f aca="false">Z65</f>
        <v>0.036697247706422</v>
      </c>
      <c r="AK65" s="23" t="n">
        <f aca="false">AA65</f>
        <v>0.197247706422018</v>
      </c>
    </row>
    <row r="66" customFormat="false" ht="15" hidden="false" customHeight="true" outlineLevel="0" collapsed="false">
      <c r="A66" s="22" t="n">
        <f aca="false">aci!H67</f>
        <v>139.6</v>
      </c>
      <c r="B66" s="22" t="n">
        <f aca="false">apexfoot!H67</f>
        <v>199.9</v>
      </c>
      <c r="C66" s="22" t="n">
        <f aca="false">bxpharma!H67</f>
        <v>81.6</v>
      </c>
      <c r="D66" s="22" t="n">
        <f aca="false">batbc!H67</f>
        <v>367.6</v>
      </c>
      <c r="E66" s="6" t="n">
        <f aca="false">LN(A65/A66)</f>
        <v>0.000716075934644089</v>
      </c>
      <c r="F66" s="6" t="n">
        <f aca="false">LN(B65/B66)</f>
        <v>-0.0005003752919012</v>
      </c>
      <c r="G66" s="6" t="n">
        <f aca="false">LN(C65/C66)</f>
        <v>-0.00491401480242893</v>
      </c>
      <c r="H66" s="6" t="n">
        <f aca="false">LN(D65/D66)</f>
        <v>0.00271665475419086</v>
      </c>
      <c r="I66" s="6" t="n">
        <f aca="false">E66-$I$2</f>
        <v>0.00030294034142375</v>
      </c>
      <c r="J66" s="6" t="n">
        <f aca="false">F66-$J$2</f>
        <v>-0.000913510885121539</v>
      </c>
      <c r="K66" s="6" t="n">
        <f aca="false">G66-$K$2</f>
        <v>-0.00532715039564927</v>
      </c>
      <c r="L66" s="6" t="n">
        <f aca="false">H66-$L$2</f>
        <v>0.00230351916097052</v>
      </c>
      <c r="S66" s="9" t="n">
        <v>0.91</v>
      </c>
      <c r="T66" s="9" t="n">
        <v>0.77</v>
      </c>
      <c r="U66" s="9" t="n">
        <v>0.29</v>
      </c>
      <c r="V66" s="9" t="n">
        <v>0.92</v>
      </c>
      <c r="W66" s="22" t="n">
        <f aca="false">SUM(S66:V66)</f>
        <v>2.89</v>
      </c>
      <c r="X66" s="23" t="n">
        <f aca="false">S66/$W66</f>
        <v>0.314878892733564</v>
      </c>
      <c r="Y66" s="23" t="n">
        <f aca="false">T66/$W66</f>
        <v>0.26643598615917</v>
      </c>
      <c r="Z66" s="23" t="n">
        <f aca="false">U66/$W66</f>
        <v>0.100346020761246</v>
      </c>
      <c r="AA66" s="23" t="n">
        <f aca="false">V66/$W66</f>
        <v>0.318339100346021</v>
      </c>
      <c r="AB66" s="23" t="n">
        <f aca="false">SUM(X66:AA66)</f>
        <v>1</v>
      </c>
      <c r="AC66" s="6" t="n">
        <f aca="false" t="array" ref="AC66:AC66">MMULT(MMULT(X66:AA66,$N$2:$Q$5),TRANSPOSE(X66:AA66))</f>
        <v>0.000255089652029773</v>
      </c>
      <c r="AD66" s="6" t="n">
        <f aca="false">SUMPRODUCT(X66:AA66,$E$237:$H$237)</f>
        <v>-0.000180896199566303</v>
      </c>
      <c r="AE66" s="24" t="n">
        <f aca="false">(AD66-$I$2)/SQRT(AC66)</f>
        <v>-0.0371931762815527</v>
      </c>
      <c r="AF66" s="6" t="n">
        <f aca="false">AD66</f>
        <v>-0.000180896199566303</v>
      </c>
      <c r="AG66" s="6" t="n">
        <f aca="false">AC66</f>
        <v>0.000255089652029773</v>
      </c>
      <c r="AH66" s="23" t="n">
        <f aca="false">X66</f>
        <v>0.314878892733564</v>
      </c>
      <c r="AI66" s="23" t="n">
        <f aca="false">Y66</f>
        <v>0.26643598615917</v>
      </c>
      <c r="AJ66" s="23" t="n">
        <f aca="false">Z66</f>
        <v>0.100346020761246</v>
      </c>
      <c r="AK66" s="23" t="n">
        <f aca="false">AA66</f>
        <v>0.318339100346021</v>
      </c>
    </row>
    <row r="67" customFormat="false" ht="15" hidden="false" customHeight="true" outlineLevel="0" collapsed="false">
      <c r="A67" s="22" t="n">
        <f aca="false">aci!H68</f>
        <v>139.7</v>
      </c>
      <c r="B67" s="22" t="n">
        <f aca="false">apexfoot!H68</f>
        <v>199.9</v>
      </c>
      <c r="C67" s="22" t="n">
        <f aca="false">bxpharma!H68</f>
        <v>82.1</v>
      </c>
      <c r="D67" s="22" t="n">
        <f aca="false">batbc!H68</f>
        <v>361.3</v>
      </c>
      <c r="E67" s="6" t="n">
        <f aca="false">LN(A66/A67)</f>
        <v>-0.000716075934643973</v>
      </c>
      <c r="F67" s="6" t="n">
        <f aca="false">LN(B66/B67)</f>
        <v>0</v>
      </c>
      <c r="G67" s="6" t="n">
        <f aca="false">LN(C66/C67)</f>
        <v>-0.00610875448832125</v>
      </c>
      <c r="H67" s="6" t="n">
        <f aca="false">LN(D66/D67)</f>
        <v>0.0172867523279375</v>
      </c>
      <c r="I67" s="6" t="n">
        <f aca="false">E67-$I$2</f>
        <v>-0.00112921152786431</v>
      </c>
      <c r="J67" s="6" t="n">
        <f aca="false">F67-$J$2</f>
        <v>-0.000413135593220339</v>
      </c>
      <c r="K67" s="6" t="n">
        <f aca="false">G67-$K$2</f>
        <v>-0.00652189008154159</v>
      </c>
      <c r="L67" s="6" t="n">
        <f aca="false">H67-$L$2</f>
        <v>0.0168736167347171</v>
      </c>
      <c r="S67" s="9" t="n">
        <v>0.95</v>
      </c>
      <c r="T67" s="9" t="n">
        <v>0.03</v>
      </c>
      <c r="U67" s="9" t="n">
        <v>0.86</v>
      </c>
      <c r="V67" s="9" t="n">
        <v>0.86</v>
      </c>
      <c r="W67" s="22" t="n">
        <f aca="false">SUM(S67:V67)</f>
        <v>2.7</v>
      </c>
      <c r="X67" s="23" t="n">
        <f aca="false">S67/$W67</f>
        <v>0.351851851851852</v>
      </c>
      <c r="Y67" s="23" t="n">
        <f aca="false">T67/$W67</f>
        <v>0.0111111111111111</v>
      </c>
      <c r="Z67" s="23" t="n">
        <f aca="false">U67/$W67</f>
        <v>0.318518518518519</v>
      </c>
      <c r="AA67" s="23" t="n">
        <f aca="false">V67/$W67</f>
        <v>0.318518518518519</v>
      </c>
      <c r="AB67" s="23" t="n">
        <f aca="false">SUM(X67:AA67)</f>
        <v>1</v>
      </c>
      <c r="AC67" s="6" t="n">
        <f aca="false" t="array" ref="AC67:AC67">MMULT(MMULT(X67:AA67,$N$2:$Q$5),TRANSPOSE(X67:AA67))</f>
        <v>0.000298629331563194</v>
      </c>
      <c r="AD67" s="6" t="n">
        <f aca="false">SUMPRODUCT(X67:AA67,$E$237:$H$237)</f>
        <v>-6.39784367016777E-005</v>
      </c>
      <c r="AE67" s="24" t="n">
        <f aca="false">(AD67-$I$2)/SQRT(AC67)</f>
        <v>-0.0276093356433086</v>
      </c>
      <c r="AF67" s="6" t="n">
        <f aca="false">AD67</f>
        <v>-6.39784367016777E-005</v>
      </c>
      <c r="AG67" s="6" t="n">
        <f aca="false">AC67</f>
        <v>0.000298629331563194</v>
      </c>
      <c r="AH67" s="23" t="n">
        <f aca="false">X67</f>
        <v>0.351851851851852</v>
      </c>
      <c r="AI67" s="23" t="n">
        <f aca="false">Y67</f>
        <v>0.0111111111111111</v>
      </c>
      <c r="AJ67" s="23" t="n">
        <f aca="false">Z67</f>
        <v>0.318518518518519</v>
      </c>
      <c r="AK67" s="23" t="n">
        <f aca="false">AA67</f>
        <v>0.318518518518519</v>
      </c>
    </row>
    <row r="68" customFormat="false" ht="15" hidden="false" customHeight="true" outlineLevel="0" collapsed="false">
      <c r="A68" s="22" t="n">
        <f aca="false">aci!H69</f>
        <v>140.6</v>
      </c>
      <c r="B68" s="22" t="n">
        <f aca="false">apexfoot!H69</f>
        <v>199.6</v>
      </c>
      <c r="C68" s="22" t="n">
        <f aca="false">bxpharma!H69</f>
        <v>81.4</v>
      </c>
      <c r="D68" s="22" t="n">
        <f aca="false">batbc!H69</f>
        <v>354.1</v>
      </c>
      <c r="E68" s="6" t="n">
        <f aca="false">LN(A67/A68)</f>
        <v>-0.0064217131136484</v>
      </c>
      <c r="F68" s="6" t="n">
        <f aca="false">LN(B67/B68)</f>
        <v>0.00150187762899075</v>
      </c>
      <c r="G68" s="6" t="n">
        <f aca="false">LN(C67/C68)</f>
        <v>0.00856274344988786</v>
      </c>
      <c r="H68" s="6" t="n">
        <f aca="false">LN(D67/D68)</f>
        <v>0.0201292790357365</v>
      </c>
      <c r="I68" s="6" t="n">
        <f aca="false">E68-$I$2</f>
        <v>-0.00683484870686874</v>
      </c>
      <c r="J68" s="6" t="n">
        <f aca="false">F68-$J$2</f>
        <v>0.00108874203577041</v>
      </c>
      <c r="K68" s="6" t="n">
        <f aca="false">G68-$K$2</f>
        <v>0.00814960785666752</v>
      </c>
      <c r="L68" s="6" t="n">
        <f aca="false">H68-$L$2</f>
        <v>0.0197161434425162</v>
      </c>
      <c r="S68" s="9" t="n">
        <v>0.36</v>
      </c>
      <c r="T68" s="9" t="n">
        <v>0.24</v>
      </c>
      <c r="U68" s="9" t="n">
        <v>0.2</v>
      </c>
      <c r="V68" s="9" t="n">
        <v>0.66</v>
      </c>
      <c r="W68" s="22" t="n">
        <f aca="false">SUM(S68:V68)</f>
        <v>1.46</v>
      </c>
      <c r="X68" s="23" t="n">
        <f aca="false">S68/$W68</f>
        <v>0.246575342465753</v>
      </c>
      <c r="Y68" s="23" t="n">
        <f aca="false">T68/$W68</f>
        <v>0.164383561643836</v>
      </c>
      <c r="Z68" s="23" t="n">
        <f aca="false">U68/$W68</f>
        <v>0.136986301369863</v>
      </c>
      <c r="AA68" s="23" t="n">
        <f aca="false">V68/$W68</f>
        <v>0.452054794520548</v>
      </c>
      <c r="AB68" s="23" t="n">
        <f aca="false">SUM(X68:AA68)</f>
        <v>1</v>
      </c>
      <c r="AC68" s="6" t="n">
        <f aca="false" t="array" ref="AC68:AC68">MMULT(MMULT(X68:AA68,$N$2:$Q$5),TRANSPOSE(X68:AA68))</f>
        <v>0.000247641827503928</v>
      </c>
      <c r="AD68" s="6" t="n">
        <f aca="false">SUMPRODUCT(X68:AA68,$E$237:$H$237)</f>
        <v>-0.000337248300233585</v>
      </c>
      <c r="AE68" s="24" t="n">
        <f aca="false">(AD68-$I$2)/SQRT(AC68)</f>
        <v>-0.0476838708960657</v>
      </c>
      <c r="AF68" s="6" t="n">
        <f aca="false">AD68</f>
        <v>-0.000337248300233585</v>
      </c>
      <c r="AG68" s="6" t="n">
        <f aca="false">AC68</f>
        <v>0.000247641827503928</v>
      </c>
      <c r="AH68" s="23" t="n">
        <f aca="false">X68</f>
        <v>0.246575342465753</v>
      </c>
      <c r="AI68" s="23" t="n">
        <f aca="false">Y68</f>
        <v>0.164383561643836</v>
      </c>
      <c r="AJ68" s="23" t="n">
        <f aca="false">Z68</f>
        <v>0.136986301369863</v>
      </c>
      <c r="AK68" s="23" t="n">
        <f aca="false">AA68</f>
        <v>0.452054794520548</v>
      </c>
    </row>
    <row r="69" customFormat="false" ht="15" hidden="false" customHeight="true" outlineLevel="0" collapsed="false">
      <c r="A69" s="22" t="n">
        <f aca="false">aci!H70</f>
        <v>140.9</v>
      </c>
      <c r="B69" s="22" t="n">
        <f aca="false">apexfoot!H70</f>
        <v>199.1</v>
      </c>
      <c r="C69" s="22" t="n">
        <f aca="false">bxpharma!H70</f>
        <v>81</v>
      </c>
      <c r="D69" s="22" t="n">
        <f aca="false">batbc!H70</f>
        <v>350.5</v>
      </c>
      <c r="E69" s="6" t="n">
        <f aca="false">LN(A68/A69)</f>
        <v>-0.0021314395280701</v>
      </c>
      <c r="F69" s="6" t="n">
        <f aca="false">LN(B68/B69)</f>
        <v>0.00250815280721292</v>
      </c>
      <c r="G69" s="6" t="n">
        <f aca="false">LN(C68/C69)</f>
        <v>0.004926118336056</v>
      </c>
      <c r="H69" s="6" t="n">
        <f aca="false">LN(D68/D69)</f>
        <v>0.0102186526432133</v>
      </c>
      <c r="I69" s="6" t="n">
        <f aca="false">E69-$I$2</f>
        <v>-0.00254457512129044</v>
      </c>
      <c r="J69" s="6" t="n">
        <f aca="false">F69-$J$2</f>
        <v>0.00209501721399258</v>
      </c>
      <c r="K69" s="6" t="n">
        <f aca="false">G69-$K$2</f>
        <v>0.00451298274283566</v>
      </c>
      <c r="L69" s="6" t="n">
        <f aca="false">H69-$L$2</f>
        <v>0.00980551704999296</v>
      </c>
      <c r="S69" s="9" t="n">
        <v>0.78</v>
      </c>
      <c r="T69" s="9" t="n">
        <v>0.07</v>
      </c>
      <c r="U69" s="9" t="n">
        <v>0.23</v>
      </c>
      <c r="V69" s="9" t="n">
        <v>0.83</v>
      </c>
      <c r="W69" s="22" t="n">
        <f aca="false">SUM(S69:V69)</f>
        <v>1.91</v>
      </c>
      <c r="X69" s="23" t="n">
        <f aca="false">S69/$W69</f>
        <v>0.408376963350785</v>
      </c>
      <c r="Y69" s="23" t="n">
        <f aca="false">T69/$W69</f>
        <v>0.0366492146596859</v>
      </c>
      <c r="Z69" s="23" t="n">
        <f aca="false">U69/$W69</f>
        <v>0.120418848167539</v>
      </c>
      <c r="AA69" s="23" t="n">
        <f aca="false">V69/$W69</f>
        <v>0.43455497382199</v>
      </c>
      <c r="AB69" s="23" t="n">
        <f aca="false">SUM(X69:AA69)</f>
        <v>1</v>
      </c>
      <c r="AC69" s="6" t="n">
        <f aca="false" t="array" ref="AC69:AC69">MMULT(MMULT(X69:AA69,$N$2:$Q$5),TRANSPOSE(X69:AA69))</f>
        <v>0.000322814711198932</v>
      </c>
      <c r="AD69" s="6" t="n">
        <f aca="false">SUMPRODUCT(X69:AA69,$E$237:$H$237)</f>
        <v>-5.3242260062746E-005</v>
      </c>
      <c r="AE69" s="24" t="n">
        <f aca="false">(AD69-$I$2)/SQRT(AC69)</f>
        <v>-0.0259574042114722</v>
      </c>
      <c r="AF69" s="6" t="n">
        <f aca="false">AD69</f>
        <v>-5.3242260062746E-005</v>
      </c>
      <c r="AG69" s="6" t="n">
        <f aca="false">AC69</f>
        <v>0.000322814711198932</v>
      </c>
      <c r="AH69" s="23" t="n">
        <f aca="false">X69</f>
        <v>0.408376963350785</v>
      </c>
      <c r="AI69" s="23" t="n">
        <f aca="false">Y69</f>
        <v>0.0366492146596859</v>
      </c>
      <c r="AJ69" s="23" t="n">
        <f aca="false">Z69</f>
        <v>0.120418848167539</v>
      </c>
      <c r="AK69" s="23" t="n">
        <f aca="false">AA69</f>
        <v>0.43455497382199</v>
      </c>
    </row>
    <row r="70" customFormat="false" ht="15" hidden="false" customHeight="true" outlineLevel="0" collapsed="false">
      <c r="A70" s="22" t="n">
        <f aca="false">aci!H71</f>
        <v>141.2</v>
      </c>
      <c r="B70" s="22" t="n">
        <f aca="false">apexfoot!H71</f>
        <v>198.7</v>
      </c>
      <c r="C70" s="22" t="n">
        <f aca="false">bxpharma!H71</f>
        <v>81.6</v>
      </c>
      <c r="D70" s="22" t="n">
        <f aca="false">batbc!H71</f>
        <v>352.8</v>
      </c>
      <c r="E70" s="6" t="n">
        <f aca="false">LN(A69/A70)</f>
        <v>-0.00212690615450707</v>
      </c>
      <c r="F70" s="6" t="n">
        <f aca="false">LN(B69/B70)</f>
        <v>0.00201106151237944</v>
      </c>
      <c r="G70" s="6" t="n">
        <f aca="false">LN(C69/C70)</f>
        <v>-0.00738010729762253</v>
      </c>
      <c r="H70" s="6" t="n">
        <f aca="false">LN(D69/D70)</f>
        <v>-0.00654061765799153</v>
      </c>
      <c r="I70" s="6" t="n">
        <f aca="false">E70-$I$2</f>
        <v>-0.00254004174772741</v>
      </c>
      <c r="J70" s="6" t="n">
        <f aca="false">F70-$J$2</f>
        <v>0.0015979259191591</v>
      </c>
      <c r="K70" s="6" t="n">
        <f aca="false">G70-$K$2</f>
        <v>-0.00779324289084287</v>
      </c>
      <c r="L70" s="6" t="n">
        <f aca="false">H70-$L$2</f>
        <v>-0.00695375325121187</v>
      </c>
      <c r="S70" s="9" t="n">
        <v>0.57</v>
      </c>
      <c r="T70" s="9" t="n">
        <v>0.76</v>
      </c>
      <c r="U70" s="9" t="n">
        <v>0.41</v>
      </c>
      <c r="V70" s="9" t="n">
        <v>0.11</v>
      </c>
      <c r="W70" s="22" t="n">
        <f aca="false">SUM(S70:V70)</f>
        <v>1.85</v>
      </c>
      <c r="X70" s="23" t="n">
        <f aca="false">S70/$W70</f>
        <v>0.308108108108108</v>
      </c>
      <c r="Y70" s="23" t="n">
        <f aca="false">T70/$W70</f>
        <v>0.410810810810811</v>
      </c>
      <c r="Z70" s="23" t="n">
        <f aca="false">U70/$W70</f>
        <v>0.221621621621622</v>
      </c>
      <c r="AA70" s="23" t="n">
        <f aca="false">V70/$W70</f>
        <v>0.0594594594594595</v>
      </c>
      <c r="AB70" s="23" t="n">
        <f aca="false">SUM(X70:AA70)</f>
        <v>1</v>
      </c>
      <c r="AC70" s="6" t="n">
        <f aca="false" t="array" ref="AC70:AC70">MMULT(MMULT(X70:AA70,$N$2:$Q$5),TRANSPOSE(X70:AA70))</f>
        <v>0.00024360249518845</v>
      </c>
      <c r="AD70" s="6" t="n">
        <f aca="false">SUMPRODUCT(X70:AA70,$E$237:$H$237)</f>
        <v>-7.41328851530746E-005</v>
      </c>
      <c r="AE70" s="24" t="n">
        <f aca="false">(AD70-$I$2)/SQRT(AC70)</f>
        <v>-0.0312196084101992</v>
      </c>
      <c r="AF70" s="6" t="n">
        <f aca="false">AD70</f>
        <v>-7.41328851530746E-005</v>
      </c>
      <c r="AG70" s="6" t="n">
        <f aca="false">AC70</f>
        <v>0.00024360249518845</v>
      </c>
      <c r="AH70" s="23" t="n">
        <f aca="false">X70</f>
        <v>0.308108108108108</v>
      </c>
      <c r="AI70" s="23" t="n">
        <f aca="false">Y70</f>
        <v>0.410810810810811</v>
      </c>
      <c r="AJ70" s="23" t="n">
        <f aca="false">Z70</f>
        <v>0.221621621621622</v>
      </c>
      <c r="AK70" s="23" t="n">
        <f aca="false">AA70</f>
        <v>0.0594594594594595</v>
      </c>
    </row>
    <row r="71" customFormat="false" ht="15" hidden="false" customHeight="true" outlineLevel="0" collapsed="false">
      <c r="A71" s="22" t="n">
        <f aca="false">aci!H72</f>
        <v>141</v>
      </c>
      <c r="B71" s="22" t="n">
        <f aca="false">apexfoot!H72</f>
        <v>199.6</v>
      </c>
      <c r="C71" s="22" t="n">
        <f aca="false">bxpharma!H72</f>
        <v>83.1</v>
      </c>
      <c r="D71" s="22" t="n">
        <f aca="false">batbc!H72</f>
        <v>349</v>
      </c>
      <c r="E71" s="6" t="n">
        <f aca="false">LN(A70/A71)</f>
        <v>0.00141743468097332</v>
      </c>
      <c r="F71" s="6" t="n">
        <f aca="false">LN(B70/B71)</f>
        <v>-0.00451921431959247</v>
      </c>
      <c r="G71" s="6" t="n">
        <f aca="false">LN(C70/C71)</f>
        <v>-0.0182154398913412</v>
      </c>
      <c r="H71" s="6" t="n">
        <f aca="false">LN(D70/D71)</f>
        <v>0.0108294019302092</v>
      </c>
      <c r="I71" s="6" t="n">
        <f aca="false">E71-$I$2</f>
        <v>0.00100429908775298</v>
      </c>
      <c r="J71" s="6" t="n">
        <f aca="false">F71-$J$2</f>
        <v>-0.00493234991281281</v>
      </c>
      <c r="K71" s="6" t="n">
        <f aca="false">G71-$K$2</f>
        <v>-0.0186285754845616</v>
      </c>
      <c r="L71" s="6" t="n">
        <f aca="false">H71-$L$2</f>
        <v>0.0104162663369888</v>
      </c>
      <c r="S71" s="9" t="n">
        <v>0.63</v>
      </c>
      <c r="T71" s="9" t="n">
        <v>0.37</v>
      </c>
      <c r="U71" s="9" t="n">
        <v>0.7</v>
      </c>
      <c r="V71" s="9" t="n">
        <v>0.94</v>
      </c>
      <c r="W71" s="22" t="n">
        <f aca="false">SUM(S71:V71)</f>
        <v>2.64</v>
      </c>
      <c r="X71" s="23" t="n">
        <f aca="false">S71/$W71</f>
        <v>0.238636363636364</v>
      </c>
      <c r="Y71" s="23" t="n">
        <f aca="false">T71/$W71</f>
        <v>0.140151515151515</v>
      </c>
      <c r="Z71" s="23" t="n">
        <f aca="false">U71/$W71</f>
        <v>0.265151515151515</v>
      </c>
      <c r="AA71" s="23" t="n">
        <f aca="false">V71/$W71</f>
        <v>0.356060606060606</v>
      </c>
      <c r="AB71" s="23" t="n">
        <f aca="false">SUM(X71:AA71)</f>
        <v>1</v>
      </c>
      <c r="AC71" s="6" t="n">
        <f aca="false" t="array" ref="AC71:AC71">MMULT(MMULT(X71:AA71,$N$2:$Q$5),TRANSPOSE(X71:AA71))</f>
        <v>0.000239959790889031</v>
      </c>
      <c r="AD71" s="6" t="n">
        <f aca="false">SUMPRODUCT(X71:AA71,$E$237:$H$237)</f>
        <v>-0.000287080273850543</v>
      </c>
      <c r="AE71" s="24" t="n">
        <f aca="false">(AD71-$I$2)/SQRT(AC71)</f>
        <v>-0.0452025265934734</v>
      </c>
      <c r="AF71" s="6" t="n">
        <f aca="false">AD71</f>
        <v>-0.000287080273850543</v>
      </c>
      <c r="AG71" s="6" t="n">
        <f aca="false">AC71</f>
        <v>0.000239959790889031</v>
      </c>
      <c r="AH71" s="23" t="n">
        <f aca="false">X71</f>
        <v>0.238636363636364</v>
      </c>
      <c r="AI71" s="23" t="n">
        <f aca="false">Y71</f>
        <v>0.140151515151515</v>
      </c>
      <c r="AJ71" s="23" t="n">
        <f aca="false">Z71</f>
        <v>0.265151515151515</v>
      </c>
      <c r="AK71" s="23" t="n">
        <f aca="false">AA71</f>
        <v>0.356060606060606</v>
      </c>
    </row>
    <row r="72" customFormat="false" ht="15" hidden="false" customHeight="true" outlineLevel="0" collapsed="false">
      <c r="A72" s="22" t="n">
        <f aca="false">aci!H73</f>
        <v>137.4</v>
      </c>
      <c r="B72" s="22" t="n">
        <f aca="false">apexfoot!H73</f>
        <v>200.6</v>
      </c>
      <c r="C72" s="22" t="n">
        <f aca="false">bxpharma!H73</f>
        <v>85</v>
      </c>
      <c r="D72" s="22" t="n">
        <f aca="false">batbc!H73</f>
        <v>346.7</v>
      </c>
      <c r="E72" s="6" t="n">
        <f aca="false">LN(A71/A72)</f>
        <v>0.0258635105899194</v>
      </c>
      <c r="F72" s="6" t="n">
        <f aca="false">LN(B71/B72)</f>
        <v>-0.00499751165047151</v>
      </c>
      <c r="G72" s="6" t="n">
        <f aca="false">LN(C71/C72)</f>
        <v>-0.022606554628914</v>
      </c>
      <c r="H72" s="6" t="n">
        <f aca="false">LN(D71/D72)</f>
        <v>0.00661206951144948</v>
      </c>
      <c r="I72" s="6" t="n">
        <f aca="false">E72-$I$2</f>
        <v>0.025450374996699</v>
      </c>
      <c r="J72" s="6" t="n">
        <f aca="false">F72-$J$2</f>
        <v>-0.00541064724369185</v>
      </c>
      <c r="K72" s="6" t="n">
        <f aca="false">G72-$K$2</f>
        <v>-0.0230196902221344</v>
      </c>
      <c r="L72" s="6" t="n">
        <f aca="false">H72-$L$2</f>
        <v>0.00619893391822915</v>
      </c>
      <c r="S72" s="9" t="n">
        <v>0.56</v>
      </c>
      <c r="T72" s="9" t="n">
        <v>0.06</v>
      </c>
      <c r="U72" s="9" t="n">
        <v>0.84</v>
      </c>
      <c r="V72" s="9" t="n">
        <v>0.19</v>
      </c>
      <c r="W72" s="22" t="n">
        <f aca="false">SUM(S72:V72)</f>
        <v>1.65</v>
      </c>
      <c r="X72" s="23" t="n">
        <f aca="false">S72/$W72</f>
        <v>0.339393939393939</v>
      </c>
      <c r="Y72" s="23" t="n">
        <f aca="false">T72/$W72</f>
        <v>0.0363636363636364</v>
      </c>
      <c r="Z72" s="23" t="n">
        <f aca="false">U72/$W72</f>
        <v>0.509090909090909</v>
      </c>
      <c r="AA72" s="23" t="n">
        <f aca="false">V72/$W72</f>
        <v>0.115151515151515</v>
      </c>
      <c r="AB72" s="23" t="n">
        <f aca="false">SUM(X72:AA72)</f>
        <v>1</v>
      </c>
      <c r="AC72" s="6" t="n">
        <f aca="false" t="array" ref="AC72:AC72">MMULT(MMULT(X72:AA72,$N$2:$Q$5),TRANSPOSE(X72:AA72))</f>
        <v>0.000333768823023425</v>
      </c>
      <c r="AD72" s="6" t="n">
        <f aca="false">SUMPRODUCT(X72:AA72,$E$237:$H$237)</f>
        <v>3.04058017010976E-005</v>
      </c>
      <c r="AE72" s="24" t="n">
        <f aca="false">(AD72-$I$2)/SQRT(AC72)</f>
        <v>-0.0209492936890846</v>
      </c>
      <c r="AF72" s="6" t="n">
        <f aca="false">AD72</f>
        <v>3.04058017010976E-005</v>
      </c>
      <c r="AG72" s="6" t="n">
        <f aca="false">AC72</f>
        <v>0.000333768823023425</v>
      </c>
      <c r="AH72" s="23" t="n">
        <f aca="false">X72</f>
        <v>0.339393939393939</v>
      </c>
      <c r="AI72" s="23" t="n">
        <f aca="false">Y72</f>
        <v>0.0363636363636364</v>
      </c>
      <c r="AJ72" s="23" t="n">
        <f aca="false">Z72</f>
        <v>0.509090909090909</v>
      </c>
      <c r="AK72" s="23" t="n">
        <f aca="false">AA72</f>
        <v>0.115151515151515</v>
      </c>
    </row>
    <row r="73" customFormat="false" ht="15" hidden="false" customHeight="true" outlineLevel="0" collapsed="false">
      <c r="A73" s="22" t="n">
        <f aca="false">aci!H74</f>
        <v>136.7</v>
      </c>
      <c r="B73" s="22" t="n">
        <f aca="false">apexfoot!H74</f>
        <v>201.5</v>
      </c>
      <c r="C73" s="22" t="n">
        <f aca="false">bxpharma!H74</f>
        <v>85</v>
      </c>
      <c r="D73" s="22" t="n">
        <f aca="false">batbc!H74</f>
        <v>344.9</v>
      </c>
      <c r="E73" s="6" t="n">
        <f aca="false">LN(A72/A73)</f>
        <v>0.00510763605834526</v>
      </c>
      <c r="F73" s="6" t="n">
        <f aca="false">LN(B72/B73)</f>
        <v>-0.00447650585890254</v>
      </c>
      <c r="G73" s="6" t="n">
        <f aca="false">LN(C72/C73)</f>
        <v>0</v>
      </c>
      <c r="H73" s="6" t="n">
        <f aca="false">LN(D72/D73)</f>
        <v>0.00520533274818265</v>
      </c>
      <c r="I73" s="6" t="n">
        <f aca="false">E73-$I$2</f>
        <v>0.00469450046512493</v>
      </c>
      <c r="J73" s="6" t="n">
        <f aca="false">F73-$J$2</f>
        <v>-0.00488964145212288</v>
      </c>
      <c r="K73" s="6" t="n">
        <f aca="false">G73-$K$2</f>
        <v>-0.000413135593220339</v>
      </c>
      <c r="L73" s="6" t="n">
        <f aca="false">H73-$L$2</f>
        <v>0.00479219715496231</v>
      </c>
      <c r="S73" s="9" t="n">
        <v>0.01</v>
      </c>
      <c r="T73" s="9" t="n">
        <v>0.59</v>
      </c>
      <c r="U73" s="9" t="n">
        <v>0.94</v>
      </c>
      <c r="V73" s="9" t="n">
        <v>0.56</v>
      </c>
      <c r="W73" s="22" t="n">
        <f aca="false">SUM(S73:V73)</f>
        <v>2.1</v>
      </c>
      <c r="X73" s="23" t="n">
        <f aca="false">S73/$W73</f>
        <v>0.00476190476190476</v>
      </c>
      <c r="Y73" s="23" t="n">
        <f aca="false">T73/$W73</f>
        <v>0.280952380952381</v>
      </c>
      <c r="Z73" s="23" t="n">
        <f aca="false">U73/$W73</f>
        <v>0.447619047619048</v>
      </c>
      <c r="AA73" s="23" t="n">
        <f aca="false">V73/$W73</f>
        <v>0.266666666666667</v>
      </c>
      <c r="AB73" s="23" t="n">
        <f aca="false">SUM(X73:AA73)</f>
        <v>1</v>
      </c>
      <c r="AC73" s="6" t="n">
        <f aca="false" t="array" ref="AC73:AC73">MMULT(MMULT(X73:AA73,$N$2:$Q$5),TRANSPOSE(X73:AA73))</f>
        <v>0.000220316482382663</v>
      </c>
      <c r="AD73" s="6" t="n">
        <f aca="false">SUMPRODUCT(X73:AA73,$E$237:$H$237)</f>
        <v>-0.000619827407798888</v>
      </c>
      <c r="AE73" s="24" t="n">
        <f aca="false">(AD73-$I$2)/SQRT(AC73)</f>
        <v>-0.0695923130812376</v>
      </c>
      <c r="AF73" s="6" t="n">
        <f aca="false">AD73</f>
        <v>-0.000619827407798888</v>
      </c>
      <c r="AG73" s="6" t="n">
        <f aca="false">AC73</f>
        <v>0.000220316482382663</v>
      </c>
      <c r="AH73" s="23" t="n">
        <f aca="false">X73</f>
        <v>0.00476190476190476</v>
      </c>
      <c r="AI73" s="23" t="n">
        <f aca="false">Y73</f>
        <v>0.280952380952381</v>
      </c>
      <c r="AJ73" s="23" t="n">
        <f aca="false">Z73</f>
        <v>0.447619047619048</v>
      </c>
      <c r="AK73" s="23" t="n">
        <f aca="false">AA73</f>
        <v>0.266666666666667</v>
      </c>
    </row>
    <row r="74" customFormat="false" ht="15" hidden="false" customHeight="true" outlineLevel="0" collapsed="false">
      <c r="A74" s="22" t="n">
        <f aca="false">aci!H75</f>
        <v>138.7</v>
      </c>
      <c r="B74" s="22" t="n">
        <f aca="false">apexfoot!H75</f>
        <v>202.5</v>
      </c>
      <c r="C74" s="22" t="n">
        <f aca="false">bxpharma!H75</f>
        <v>84.5</v>
      </c>
      <c r="D74" s="22" t="n">
        <f aca="false">batbc!H75</f>
        <v>346.6</v>
      </c>
      <c r="E74" s="6" t="n">
        <f aca="false">LN(A73/A74)</f>
        <v>-0.014524583590882</v>
      </c>
      <c r="F74" s="6" t="n">
        <f aca="false">LN(B73/B74)</f>
        <v>-0.0049505051598562</v>
      </c>
      <c r="G74" s="6" t="n">
        <f aca="false">LN(C73/C74)</f>
        <v>0.00589972212718832</v>
      </c>
      <c r="H74" s="6" t="n">
        <f aca="false">LN(D73/D74)</f>
        <v>-0.00491685733871057</v>
      </c>
      <c r="I74" s="6" t="n">
        <f aca="false">E74-$I$2</f>
        <v>-0.0149377191841024</v>
      </c>
      <c r="J74" s="6" t="n">
        <f aca="false">F74-$J$2</f>
        <v>-0.00536364075307654</v>
      </c>
      <c r="K74" s="6" t="n">
        <f aca="false">G74-$K$2</f>
        <v>0.00548658653396798</v>
      </c>
      <c r="L74" s="6" t="n">
        <f aca="false">H74-$L$2</f>
        <v>-0.00532999293193091</v>
      </c>
      <c r="S74" s="9" t="n">
        <v>0.58</v>
      </c>
      <c r="T74" s="9" t="n">
        <v>0.31</v>
      </c>
      <c r="U74" s="9" t="n">
        <v>0.5</v>
      </c>
      <c r="V74" s="9" t="n">
        <v>0.34</v>
      </c>
      <c r="W74" s="22" t="n">
        <f aca="false">SUM(S74:V74)</f>
        <v>1.73</v>
      </c>
      <c r="X74" s="23" t="n">
        <f aca="false">S74/$W74</f>
        <v>0.335260115606936</v>
      </c>
      <c r="Y74" s="23" t="n">
        <f aca="false">T74/$W74</f>
        <v>0.179190751445087</v>
      </c>
      <c r="Z74" s="23" t="n">
        <f aca="false">U74/$W74</f>
        <v>0.289017341040462</v>
      </c>
      <c r="AA74" s="23" t="n">
        <f aca="false">V74/$W74</f>
        <v>0.196531791907514</v>
      </c>
      <c r="AB74" s="23" t="n">
        <f aca="false">SUM(X74:AA74)</f>
        <v>1</v>
      </c>
      <c r="AC74" s="6" t="n">
        <f aca="false" t="array" ref="AC74:AC74">MMULT(MMULT(X74:AA74,$N$2:$Q$5),TRANSPOSE(X74:AA74))</f>
        <v>0.00026480915774724</v>
      </c>
      <c r="AD74" s="6" t="n">
        <f aca="false">SUMPRODUCT(X74:AA74,$E$237:$H$237)</f>
        <v>-5.78940642767581E-005</v>
      </c>
      <c r="AE74" s="24" t="n">
        <f aca="false">(AD74-$I$2)/SQRT(AC74)</f>
        <v>-0.0289455464299389</v>
      </c>
      <c r="AF74" s="6" t="n">
        <f aca="false">AD74</f>
        <v>-5.78940642767581E-005</v>
      </c>
      <c r="AG74" s="6" t="n">
        <f aca="false">AC74</f>
        <v>0.00026480915774724</v>
      </c>
      <c r="AH74" s="23" t="n">
        <f aca="false">X74</f>
        <v>0.335260115606936</v>
      </c>
      <c r="AI74" s="23" t="n">
        <f aca="false">Y74</f>
        <v>0.179190751445087</v>
      </c>
      <c r="AJ74" s="23" t="n">
        <f aca="false">Z74</f>
        <v>0.289017341040462</v>
      </c>
      <c r="AK74" s="23" t="n">
        <f aca="false">AA74</f>
        <v>0.196531791907514</v>
      </c>
    </row>
    <row r="75" customFormat="false" ht="15" hidden="false" customHeight="true" outlineLevel="0" collapsed="false">
      <c r="A75" s="22" t="n">
        <f aca="false">aci!H76</f>
        <v>141.1</v>
      </c>
      <c r="B75" s="22" t="n">
        <f aca="false">apexfoot!H76</f>
        <v>199.9</v>
      </c>
      <c r="C75" s="22" t="n">
        <f aca="false">bxpharma!H76</f>
        <v>84.2</v>
      </c>
      <c r="D75" s="22" t="n">
        <f aca="false">batbc!H76</f>
        <v>345.7</v>
      </c>
      <c r="E75" s="6" t="n">
        <f aca="false">LN(A74/A75)</f>
        <v>-0.0171555315379825</v>
      </c>
      <c r="F75" s="6" t="n">
        <f aca="false">LN(B74/B75)</f>
        <v>0.0129226450402394</v>
      </c>
      <c r="G75" s="6" t="n">
        <f aca="false">LN(C74/C75)</f>
        <v>0.00355661311484702</v>
      </c>
      <c r="H75" s="6" t="n">
        <f aca="false">LN(D74/D75)</f>
        <v>0.00260003035392704</v>
      </c>
      <c r="I75" s="6" t="n">
        <f aca="false">E75-$I$2</f>
        <v>-0.0175686671312028</v>
      </c>
      <c r="J75" s="6" t="n">
        <f aca="false">F75-$J$2</f>
        <v>0.0125095094470191</v>
      </c>
      <c r="K75" s="6" t="n">
        <f aca="false">G75-$K$2</f>
        <v>0.00314347752162668</v>
      </c>
      <c r="L75" s="6" t="n">
        <f aca="false">H75-$L$2</f>
        <v>0.0021868947607067</v>
      </c>
      <c r="S75" s="9" t="n">
        <v>0.19</v>
      </c>
      <c r="T75" s="9" t="n">
        <v>0.76</v>
      </c>
      <c r="U75" s="9" t="n">
        <v>0.1</v>
      </c>
      <c r="V75" s="9" t="n">
        <v>0.67</v>
      </c>
      <c r="W75" s="22" t="n">
        <f aca="false">SUM(S75:V75)</f>
        <v>1.72</v>
      </c>
      <c r="X75" s="23" t="n">
        <f aca="false">S75/$W75</f>
        <v>0.11046511627907</v>
      </c>
      <c r="Y75" s="23" t="n">
        <f aca="false">T75/$W75</f>
        <v>0.441860465116279</v>
      </c>
      <c r="Z75" s="23" t="n">
        <f aca="false">U75/$W75</f>
        <v>0.0581395348837209</v>
      </c>
      <c r="AA75" s="23" t="n">
        <f aca="false">V75/$W75</f>
        <v>0.38953488372093</v>
      </c>
      <c r="AB75" s="23" t="n">
        <f aca="false">SUM(X75:AA75)</f>
        <v>1</v>
      </c>
      <c r="AC75" s="6" t="n">
        <f aca="false" t="array" ref="AC75:AC75">MMULT(MMULT(X75:AA75,$N$2:$Q$5),TRANSPOSE(X75:AA75))</f>
        <v>0.000217970940924955</v>
      </c>
      <c r="AD75" s="6" t="n">
        <f aca="false">SUMPRODUCT(X75:AA75,$E$237:$H$237)</f>
        <v>-0.000571848001215848</v>
      </c>
      <c r="AE75" s="24" t="n">
        <f aca="false">(AD75-$I$2)/SQRT(AC75)</f>
        <v>-0.0667159535474259</v>
      </c>
      <c r="AF75" s="6" t="n">
        <f aca="false">AD75</f>
        <v>-0.000571848001215848</v>
      </c>
      <c r="AG75" s="6" t="n">
        <f aca="false">AC75</f>
        <v>0.000217970940924955</v>
      </c>
      <c r="AH75" s="23" t="n">
        <f aca="false">X75</f>
        <v>0.11046511627907</v>
      </c>
      <c r="AI75" s="23" t="n">
        <f aca="false">Y75</f>
        <v>0.441860465116279</v>
      </c>
      <c r="AJ75" s="23" t="n">
        <f aca="false">Z75</f>
        <v>0.0581395348837209</v>
      </c>
      <c r="AK75" s="23" t="n">
        <f aca="false">AA75</f>
        <v>0.38953488372093</v>
      </c>
    </row>
    <row r="76" customFormat="false" ht="15" hidden="false" customHeight="true" outlineLevel="0" collapsed="false">
      <c r="A76" s="22" t="n">
        <f aca="false">aci!H77</f>
        <v>137.4</v>
      </c>
      <c r="B76" s="22" t="n">
        <f aca="false">apexfoot!H77</f>
        <v>199.8</v>
      </c>
      <c r="C76" s="22" t="n">
        <f aca="false">bxpharma!H77</f>
        <v>84.3</v>
      </c>
      <c r="D76" s="22" t="n">
        <f aca="false">batbc!H77</f>
        <v>341.2</v>
      </c>
      <c r="E76" s="6" t="n">
        <f aca="false">LN(A75/A76)</f>
        <v>0.0265724790705193</v>
      </c>
      <c r="F76" s="6" t="n">
        <f aca="false">LN(B75/B76)</f>
        <v>0.00050037529190128</v>
      </c>
      <c r="G76" s="6" t="n">
        <f aca="false">LN(C75/C76)</f>
        <v>-0.00118694375952861</v>
      </c>
      <c r="H76" s="6" t="n">
        <f aca="false">LN(D75/D76)</f>
        <v>0.0131025313100547</v>
      </c>
      <c r="I76" s="6" t="n">
        <f aca="false">E76-$I$2</f>
        <v>0.026159343477299</v>
      </c>
      <c r="J76" s="6" t="n">
        <f aca="false">F76-$J$2</f>
        <v>8.72396986809408E-005</v>
      </c>
      <c r="K76" s="6" t="n">
        <f aca="false">G76-$K$2</f>
        <v>-0.00160007935274895</v>
      </c>
      <c r="L76" s="6" t="n">
        <f aca="false">H76-$L$2</f>
        <v>0.0126893957168344</v>
      </c>
      <c r="S76" s="9" t="n">
        <v>0.24</v>
      </c>
      <c r="T76" s="9" t="n">
        <v>0.14</v>
      </c>
      <c r="U76" s="9" t="n">
        <v>0.88</v>
      </c>
      <c r="V76" s="9" t="n">
        <v>0.97</v>
      </c>
      <c r="W76" s="22" t="n">
        <f aca="false">SUM(S76:V76)</f>
        <v>2.23</v>
      </c>
      <c r="X76" s="23" t="n">
        <f aca="false">S76/$W76</f>
        <v>0.10762331838565</v>
      </c>
      <c r="Y76" s="23" t="n">
        <f aca="false">T76/$W76</f>
        <v>0.062780269058296</v>
      </c>
      <c r="Z76" s="23" t="n">
        <f aca="false">U76/$W76</f>
        <v>0.394618834080718</v>
      </c>
      <c r="AA76" s="23" t="n">
        <f aca="false">V76/$W76</f>
        <v>0.434977578475336</v>
      </c>
      <c r="AB76" s="23" t="n">
        <f aca="false">SUM(X76:AA76)</f>
        <v>1</v>
      </c>
      <c r="AC76" s="6" t="n">
        <f aca="false" t="array" ref="AC76:AC76">MMULT(MMULT(X76:AA76,$N$2:$Q$5),TRANSPOSE(X76:AA76))</f>
        <v>0.000238086762399511</v>
      </c>
      <c r="AD76" s="6" t="n">
        <f aca="false">SUMPRODUCT(X76:AA76,$E$237:$H$237)</f>
        <v>-0.000511437990125147</v>
      </c>
      <c r="AE76" s="24" t="n">
        <f aca="false">(AD76-$I$2)/SQRT(AC76)</f>
        <v>-0.0599202830308729</v>
      </c>
      <c r="AF76" s="6" t="n">
        <f aca="false">AD76</f>
        <v>-0.000511437990125147</v>
      </c>
      <c r="AG76" s="6" t="n">
        <f aca="false">AC76</f>
        <v>0.000238086762399511</v>
      </c>
      <c r="AH76" s="23" t="n">
        <f aca="false">X76</f>
        <v>0.10762331838565</v>
      </c>
      <c r="AI76" s="23" t="n">
        <f aca="false">Y76</f>
        <v>0.062780269058296</v>
      </c>
      <c r="AJ76" s="23" t="n">
        <f aca="false">Z76</f>
        <v>0.394618834080718</v>
      </c>
      <c r="AK76" s="23" t="n">
        <f aca="false">AA76</f>
        <v>0.434977578475336</v>
      </c>
    </row>
    <row r="77" customFormat="false" ht="15" hidden="false" customHeight="true" outlineLevel="0" collapsed="false">
      <c r="A77" s="22" t="n">
        <f aca="false">aci!H78</f>
        <v>132.6</v>
      </c>
      <c r="B77" s="22" t="n">
        <f aca="false">apexfoot!H78</f>
        <v>201.2</v>
      </c>
      <c r="C77" s="22" t="n">
        <f aca="false">bxpharma!H78</f>
        <v>86.4</v>
      </c>
      <c r="D77" s="22" t="n">
        <f aca="false">batbc!H78</f>
        <v>344</v>
      </c>
      <c r="E77" s="6" t="n">
        <f aca="false">LN(A76/A77)</f>
        <v>0.0355593020364869</v>
      </c>
      <c r="F77" s="6" t="n">
        <f aca="false">LN(B76/B77)</f>
        <v>-0.00698257201113092</v>
      </c>
      <c r="G77" s="6" t="n">
        <f aca="false">LN(C76/C77)</f>
        <v>-0.0246058108022003</v>
      </c>
      <c r="H77" s="6" t="n">
        <f aca="false">LN(D76/D77)</f>
        <v>-0.00817284175587436</v>
      </c>
      <c r="I77" s="6" t="n">
        <f aca="false">E77-$I$2</f>
        <v>0.0351461664432666</v>
      </c>
      <c r="J77" s="6" t="n">
        <f aca="false">F77-$J$2</f>
        <v>-0.00739570760435126</v>
      </c>
      <c r="K77" s="6" t="n">
        <f aca="false">G77-$K$2</f>
        <v>-0.0250189463954206</v>
      </c>
      <c r="L77" s="6" t="n">
        <f aca="false">H77-$L$2</f>
        <v>-0.0085859773490947</v>
      </c>
      <c r="S77" s="9" t="n">
        <v>0.3</v>
      </c>
      <c r="T77" s="9" t="n">
        <v>0.96</v>
      </c>
      <c r="U77" s="9" t="n">
        <v>0.46</v>
      </c>
      <c r="V77" s="9" t="n">
        <v>0.79</v>
      </c>
      <c r="W77" s="22" t="n">
        <f aca="false">SUM(S77:V77)</f>
        <v>2.51</v>
      </c>
      <c r="X77" s="23" t="n">
        <f aca="false">S77/$W77</f>
        <v>0.119521912350598</v>
      </c>
      <c r="Y77" s="23" t="n">
        <f aca="false">T77/$W77</f>
        <v>0.382470119521912</v>
      </c>
      <c r="Z77" s="23" t="n">
        <f aca="false">U77/$W77</f>
        <v>0.183266932270916</v>
      </c>
      <c r="AA77" s="23" t="n">
        <f aca="false">V77/$W77</f>
        <v>0.314741035856574</v>
      </c>
      <c r="AB77" s="23" t="n">
        <f aca="false">SUM(X77:AA77)</f>
        <v>1</v>
      </c>
      <c r="AC77" s="6" t="n">
        <f aca="false" t="array" ref="AC77:AC77">MMULT(MMULT(X77:AA77,$N$2:$Q$5),TRANSPOSE(X77:AA77))</f>
        <v>0.000202072651980789</v>
      </c>
      <c r="AD77" s="6" t="n">
        <f aca="false">SUMPRODUCT(X77:AA77,$E$237:$H$237)</f>
        <v>-0.000500111914986259</v>
      </c>
      <c r="AE77" s="24" t="n">
        <f aca="false">(AD77-$I$2)/SQRT(AC77)</f>
        <v>-0.064244318328303</v>
      </c>
      <c r="AF77" s="6" t="n">
        <f aca="false">AD77</f>
        <v>-0.000500111914986259</v>
      </c>
      <c r="AG77" s="6" t="n">
        <f aca="false">AC77</f>
        <v>0.000202072651980789</v>
      </c>
      <c r="AH77" s="23" t="n">
        <f aca="false">X77</f>
        <v>0.119521912350598</v>
      </c>
      <c r="AI77" s="23" t="n">
        <f aca="false">Y77</f>
        <v>0.382470119521912</v>
      </c>
      <c r="AJ77" s="23" t="n">
        <f aca="false">Z77</f>
        <v>0.183266932270916</v>
      </c>
      <c r="AK77" s="23" t="n">
        <f aca="false">AA77</f>
        <v>0.314741035856574</v>
      </c>
    </row>
    <row r="78" customFormat="false" ht="15" hidden="false" customHeight="true" outlineLevel="0" collapsed="false">
      <c r="A78" s="22" t="n">
        <f aca="false">aci!H79</f>
        <v>134.3</v>
      </c>
      <c r="B78" s="22" t="n">
        <f aca="false">apexfoot!H79</f>
        <v>200.8</v>
      </c>
      <c r="C78" s="22" t="n">
        <f aca="false">bxpharma!H79</f>
        <v>85.6</v>
      </c>
      <c r="D78" s="22" t="n">
        <f aca="false">batbc!H79</f>
        <v>345.8</v>
      </c>
      <c r="E78" s="6" t="n">
        <f aca="false">LN(A77/A78)</f>
        <v>-0.0127390257774299</v>
      </c>
      <c r="F78" s="6" t="n">
        <f aca="false">LN(B77/B78)</f>
        <v>0.00199005040800979</v>
      </c>
      <c r="G78" s="6" t="n">
        <f aca="false">LN(C77/C78)</f>
        <v>0.00930239266231363</v>
      </c>
      <c r="H78" s="6" t="n">
        <f aca="false">LN(D77/D78)</f>
        <v>-0.00521891587579186</v>
      </c>
      <c r="I78" s="6" t="n">
        <f aca="false">E78-$I$2</f>
        <v>-0.0131521613706503</v>
      </c>
      <c r="J78" s="6" t="n">
        <f aca="false">F78-$J$2</f>
        <v>0.00157691481478945</v>
      </c>
      <c r="K78" s="6" t="n">
        <f aca="false">G78-$K$2</f>
        <v>0.00888925706909329</v>
      </c>
      <c r="L78" s="6" t="n">
        <f aca="false">H78-$L$2</f>
        <v>-0.00563205146901219</v>
      </c>
      <c r="S78" s="9" t="n">
        <v>0.56</v>
      </c>
      <c r="T78" s="9" t="n">
        <v>0.04</v>
      </c>
      <c r="U78" s="9" t="n">
        <v>0.29</v>
      </c>
      <c r="V78" s="9" t="n">
        <v>0.01</v>
      </c>
      <c r="W78" s="22" t="n">
        <f aca="false">SUM(S78:V78)</f>
        <v>0.9</v>
      </c>
      <c r="X78" s="23" t="n">
        <f aca="false">S78/$W78</f>
        <v>0.622222222222222</v>
      </c>
      <c r="Y78" s="23" t="n">
        <f aca="false">T78/$W78</f>
        <v>0.0444444444444444</v>
      </c>
      <c r="Z78" s="23" t="n">
        <f aca="false">U78/$W78</f>
        <v>0.322222222222222</v>
      </c>
      <c r="AA78" s="23" t="n">
        <f aca="false">V78/$W78</f>
        <v>0.0111111111111111</v>
      </c>
      <c r="AB78" s="23" t="n">
        <f aca="false">SUM(X78:AA78)</f>
        <v>1</v>
      </c>
      <c r="AC78" s="6" t="n">
        <f aca="false" t="array" ref="AC78:AC78">MMULT(MMULT(X78:AA78,$N$2:$Q$5),TRANSPOSE(X78:AA78))</f>
        <v>0.000431093900841765</v>
      </c>
      <c r="AD78" s="6" t="n">
        <f aca="false">SUMPRODUCT(X78:AA78,$E$237:$H$237)</f>
        <v>0.00051416296226118</v>
      </c>
      <c r="AE78" s="24" t="n">
        <f aca="false">(AD78-$I$2)/SQRT(AC78)</f>
        <v>0.00486578711470209</v>
      </c>
      <c r="AF78" s="6" t="n">
        <f aca="false">AD78</f>
        <v>0.00051416296226118</v>
      </c>
      <c r="AG78" s="6" t="n">
        <f aca="false">AC78</f>
        <v>0.000431093900841765</v>
      </c>
      <c r="AH78" s="23" t="n">
        <f aca="false">X78</f>
        <v>0.622222222222222</v>
      </c>
      <c r="AI78" s="23" t="n">
        <f aca="false">Y78</f>
        <v>0.0444444444444444</v>
      </c>
      <c r="AJ78" s="23" t="n">
        <f aca="false">Z78</f>
        <v>0.322222222222222</v>
      </c>
      <c r="AK78" s="23" t="n">
        <f aca="false">AA78</f>
        <v>0.0111111111111111</v>
      </c>
    </row>
    <row r="79" customFormat="false" ht="15" hidden="false" customHeight="true" outlineLevel="0" collapsed="false">
      <c r="A79" s="22" t="n">
        <f aca="false">aci!H80</f>
        <v>131.4</v>
      </c>
      <c r="B79" s="22" t="n">
        <f aca="false">apexfoot!H80</f>
        <v>200.9</v>
      </c>
      <c r="C79" s="22" t="n">
        <f aca="false">bxpharma!H80</f>
        <v>83.5</v>
      </c>
      <c r="D79" s="22" t="n">
        <f aca="false">batbc!H80</f>
        <v>349.1</v>
      </c>
      <c r="E79" s="6" t="n">
        <f aca="false">LN(A78/A79)</f>
        <v>0.0218299974786819</v>
      </c>
      <c r="F79" s="6" t="n">
        <f aca="false">LN(B78/B79)</f>
        <v>-0.000497884003314516</v>
      </c>
      <c r="G79" s="6" t="n">
        <f aca="false">LN(C78/C79)</f>
        <v>0.0248386512908866</v>
      </c>
      <c r="H79" s="6" t="n">
        <f aca="false">LN(D78/D79)</f>
        <v>-0.00949784086180022</v>
      </c>
      <c r="I79" s="6" t="n">
        <f aca="false">E79-$I$2</f>
        <v>0.0214168618854615</v>
      </c>
      <c r="J79" s="6" t="n">
        <f aca="false">F79-$J$2</f>
        <v>-0.000911019596534855</v>
      </c>
      <c r="K79" s="6" t="n">
        <f aca="false">G79-$K$2</f>
        <v>0.0244255156976663</v>
      </c>
      <c r="L79" s="6" t="n">
        <f aca="false">H79-$L$2</f>
        <v>-0.00991097645502056</v>
      </c>
      <c r="S79" s="9" t="n">
        <v>0.63</v>
      </c>
      <c r="T79" s="9" t="n">
        <v>0.9</v>
      </c>
      <c r="U79" s="9" t="n">
        <v>0.26</v>
      </c>
      <c r="V79" s="9" t="n">
        <v>0.75</v>
      </c>
      <c r="W79" s="22" t="n">
        <f aca="false">SUM(S79:V79)</f>
        <v>2.54</v>
      </c>
      <c r="X79" s="23" t="n">
        <f aca="false">S79/$W79</f>
        <v>0.248031496062992</v>
      </c>
      <c r="Y79" s="23" t="n">
        <f aca="false">T79/$W79</f>
        <v>0.354330708661417</v>
      </c>
      <c r="Z79" s="23" t="n">
        <f aca="false">U79/$W79</f>
        <v>0.102362204724409</v>
      </c>
      <c r="AA79" s="23" t="n">
        <f aca="false">V79/$W79</f>
        <v>0.295275590551181</v>
      </c>
      <c r="AB79" s="23" t="n">
        <f aca="false">SUM(X79:AA79)</f>
        <v>1</v>
      </c>
      <c r="AC79" s="6" t="n">
        <f aca="false" t="array" ref="AC79:AC79">MMULT(MMULT(X79:AA79,$N$2:$Q$5),TRANSPOSE(X79:AA79))</f>
        <v>0.000231527684026061</v>
      </c>
      <c r="AD79" s="6" t="n">
        <f aca="false">SUMPRODUCT(X79:AA79,$E$237:$H$237)</f>
        <v>-0.000288939048618506</v>
      </c>
      <c r="AE79" s="24" t="n">
        <f aca="false">(AD79-$I$2)/SQRT(AC79)</f>
        <v>-0.046140449734884</v>
      </c>
      <c r="AF79" s="6" t="n">
        <f aca="false">AD79</f>
        <v>-0.000288939048618506</v>
      </c>
      <c r="AG79" s="6" t="n">
        <f aca="false">AC79</f>
        <v>0.000231527684026061</v>
      </c>
      <c r="AH79" s="23" t="n">
        <f aca="false">X79</f>
        <v>0.248031496062992</v>
      </c>
      <c r="AI79" s="23" t="n">
        <f aca="false">Y79</f>
        <v>0.354330708661417</v>
      </c>
      <c r="AJ79" s="23" t="n">
        <f aca="false">Z79</f>
        <v>0.102362204724409</v>
      </c>
      <c r="AK79" s="23" t="n">
        <f aca="false">AA79</f>
        <v>0.295275590551181</v>
      </c>
    </row>
    <row r="80" customFormat="false" ht="15" hidden="false" customHeight="true" outlineLevel="0" collapsed="false">
      <c r="A80" s="22" t="n">
        <f aca="false">aci!H81</f>
        <v>128.4</v>
      </c>
      <c r="B80" s="22" t="n">
        <f aca="false">apexfoot!H81</f>
        <v>202.1</v>
      </c>
      <c r="C80" s="22" t="n">
        <f aca="false">bxpharma!H81</f>
        <v>82.9</v>
      </c>
      <c r="D80" s="22" t="n">
        <f aca="false">batbc!H81</f>
        <v>350.8</v>
      </c>
      <c r="E80" s="6" t="n">
        <f aca="false">LN(A79/A80)</f>
        <v>0.0230957147946494</v>
      </c>
      <c r="F80" s="6" t="n">
        <f aca="false">LN(B79/B80)</f>
        <v>-0.00595535258868652</v>
      </c>
      <c r="G80" s="6" t="n">
        <f aca="false">LN(C79/C80)</f>
        <v>0.0072115697155604</v>
      </c>
      <c r="H80" s="6" t="n">
        <f aca="false">LN(D79/D80)</f>
        <v>-0.00485784638703755</v>
      </c>
      <c r="I80" s="6" t="n">
        <f aca="false">E80-$I$2</f>
        <v>0.0226825792014291</v>
      </c>
      <c r="J80" s="6" t="n">
        <f aca="false">F80-$J$2</f>
        <v>-0.00636848818190686</v>
      </c>
      <c r="K80" s="6" t="n">
        <f aca="false">G80-$K$2</f>
        <v>0.00679843412234006</v>
      </c>
      <c r="L80" s="6" t="n">
        <f aca="false">H80-$L$2</f>
        <v>-0.00527098198025788</v>
      </c>
      <c r="S80" s="9" t="n">
        <v>0.12</v>
      </c>
      <c r="T80" s="9" t="n">
        <v>0.33</v>
      </c>
      <c r="U80" s="9" t="n">
        <v>0.09</v>
      </c>
      <c r="V80" s="9" t="n">
        <v>0.22</v>
      </c>
      <c r="W80" s="22" t="n">
        <f aca="false">SUM(S80:V80)</f>
        <v>0.76</v>
      </c>
      <c r="X80" s="23" t="n">
        <f aca="false">S80/$W80</f>
        <v>0.157894736842105</v>
      </c>
      <c r="Y80" s="23" t="n">
        <f aca="false">T80/$W80</f>
        <v>0.43421052631579</v>
      </c>
      <c r="Z80" s="23" t="n">
        <f aca="false">U80/$W80</f>
        <v>0.118421052631579</v>
      </c>
      <c r="AA80" s="23" t="n">
        <f aca="false">V80/$W80</f>
        <v>0.289473684210526</v>
      </c>
      <c r="AB80" s="23" t="n">
        <f aca="false">SUM(X80:AA80)</f>
        <v>1</v>
      </c>
      <c r="AC80" s="6" t="n">
        <f aca="false" t="array" ref="AC80:AC80">MMULT(MMULT(X80:AA80,$N$2:$Q$5),TRANSPOSE(X80:AA80))</f>
        <v>0.000211966200621632</v>
      </c>
      <c r="AD80" s="6" t="n">
        <f aca="false">SUMPRODUCT(X80:AA80,$E$237:$H$237)</f>
        <v>-0.0004401414496873</v>
      </c>
      <c r="AE80" s="24" t="n">
        <f aca="false">(AD80-$I$2)/SQRT(AC80)</f>
        <v>-0.0586079800606752</v>
      </c>
      <c r="AF80" s="6" t="n">
        <f aca="false">AD80</f>
        <v>-0.0004401414496873</v>
      </c>
      <c r="AG80" s="6" t="n">
        <f aca="false">AC80</f>
        <v>0.000211966200621632</v>
      </c>
      <c r="AH80" s="23" t="n">
        <f aca="false">X80</f>
        <v>0.157894736842105</v>
      </c>
      <c r="AI80" s="23" t="n">
        <f aca="false">Y80</f>
        <v>0.43421052631579</v>
      </c>
      <c r="AJ80" s="23" t="n">
        <f aca="false">Z80</f>
        <v>0.118421052631579</v>
      </c>
      <c r="AK80" s="23" t="n">
        <f aca="false">AA80</f>
        <v>0.289473684210526</v>
      </c>
    </row>
    <row r="81" customFormat="false" ht="15" hidden="false" customHeight="true" outlineLevel="0" collapsed="false">
      <c r="A81" s="22" t="n">
        <f aca="false">aci!H82</f>
        <v>128</v>
      </c>
      <c r="B81" s="22" t="n">
        <f aca="false">apexfoot!H82</f>
        <v>203.1</v>
      </c>
      <c r="C81" s="22" t="n">
        <f aca="false">bxpharma!H82</f>
        <v>82.1</v>
      </c>
      <c r="D81" s="22" t="n">
        <f aca="false">batbc!H82</f>
        <v>352.4</v>
      </c>
      <c r="E81" s="6" t="n">
        <f aca="false">LN(A80/A81)</f>
        <v>0.00312012733624368</v>
      </c>
      <c r="F81" s="6" t="n">
        <f aca="false">LN(B80/B81)</f>
        <v>-0.00493584417676365</v>
      </c>
      <c r="G81" s="6" t="n">
        <f aca="false">LN(C80/C81)</f>
        <v>0.00969704568286699</v>
      </c>
      <c r="H81" s="6" t="n">
        <f aca="false">LN(D80/D81)</f>
        <v>-0.00455063356399636</v>
      </c>
      <c r="I81" s="6" t="n">
        <f aca="false">E81-$I$2</f>
        <v>0.00270699174302334</v>
      </c>
      <c r="J81" s="6" t="n">
        <f aca="false">F81-$J$2</f>
        <v>-0.00534897976998399</v>
      </c>
      <c r="K81" s="6" t="n">
        <f aca="false">G81-$K$2</f>
        <v>0.00928391008964665</v>
      </c>
      <c r="L81" s="6" t="n">
        <f aca="false">H81-$L$2</f>
        <v>-0.0049637691572167</v>
      </c>
      <c r="S81" s="9" t="n">
        <v>0.24</v>
      </c>
      <c r="T81" s="9" t="n">
        <v>0.18</v>
      </c>
      <c r="U81" s="9" t="n">
        <v>0.89</v>
      </c>
      <c r="V81" s="9" t="n">
        <v>0.76</v>
      </c>
      <c r="W81" s="22" t="n">
        <f aca="false">SUM(S81:V81)</f>
        <v>2.07</v>
      </c>
      <c r="X81" s="23" t="n">
        <f aca="false">S81/$W81</f>
        <v>0.115942028985507</v>
      </c>
      <c r="Y81" s="23" t="n">
        <f aca="false">T81/$W81</f>
        <v>0.0869565217391304</v>
      </c>
      <c r="Z81" s="23" t="n">
        <f aca="false">U81/$W81</f>
        <v>0.429951690821256</v>
      </c>
      <c r="AA81" s="23" t="n">
        <f aca="false">V81/$W81</f>
        <v>0.367149758454106</v>
      </c>
      <c r="AB81" s="23" t="n">
        <f aca="false">SUM(X81:AA81)</f>
        <v>1</v>
      </c>
      <c r="AC81" s="6" t="n">
        <f aca="false" t="array" ref="AC81:AC81">MMULT(MMULT(X81:AA81,$N$2:$Q$5),TRANSPOSE(X81:AA81))</f>
        <v>0.000241352361559564</v>
      </c>
      <c r="AD81" s="6" t="n">
        <f aca="false">SUMPRODUCT(X81:AA81,$E$237:$H$237)</f>
        <v>-0.000465020845027909</v>
      </c>
      <c r="AE81" s="24" t="n">
        <f aca="false">(AD81-$I$2)/SQRT(AC81)</f>
        <v>-0.056525721368497</v>
      </c>
      <c r="AF81" s="6" t="n">
        <f aca="false">AD81</f>
        <v>-0.000465020845027909</v>
      </c>
      <c r="AG81" s="6" t="n">
        <f aca="false">AC81</f>
        <v>0.000241352361559564</v>
      </c>
      <c r="AH81" s="23" t="n">
        <f aca="false">X81</f>
        <v>0.115942028985507</v>
      </c>
      <c r="AI81" s="23" t="n">
        <f aca="false">Y81</f>
        <v>0.0869565217391304</v>
      </c>
      <c r="AJ81" s="23" t="n">
        <f aca="false">Z81</f>
        <v>0.429951690821256</v>
      </c>
      <c r="AK81" s="23" t="n">
        <f aca="false">AA81</f>
        <v>0.367149758454106</v>
      </c>
    </row>
    <row r="82" customFormat="false" ht="15" hidden="false" customHeight="true" outlineLevel="0" collapsed="false">
      <c r="A82" s="22" t="n">
        <f aca="false">aci!H83</f>
        <v>129.5</v>
      </c>
      <c r="B82" s="22" t="n">
        <f aca="false">apexfoot!H83</f>
        <v>204.1</v>
      </c>
      <c r="C82" s="22" t="n">
        <f aca="false">bxpharma!H83</f>
        <v>83.2</v>
      </c>
      <c r="D82" s="22" t="n">
        <f aca="false">batbc!H83</f>
        <v>355.2</v>
      </c>
      <c r="E82" s="6" t="n">
        <f aca="false">LN(A81/A82)</f>
        <v>-0.0116506172199753</v>
      </c>
      <c r="F82" s="6" t="n">
        <f aca="false">LN(B81/B82)</f>
        <v>-0.0049116012294601</v>
      </c>
      <c r="G82" s="6" t="n">
        <f aca="false">LN(C81/C82)</f>
        <v>-0.0133093313687805</v>
      </c>
      <c r="H82" s="6" t="n">
        <f aca="false">LN(D81/D82)</f>
        <v>-0.00791411705599064</v>
      </c>
      <c r="I82" s="6" t="n">
        <f aca="false">E82-$I$2</f>
        <v>-0.0120637528131956</v>
      </c>
      <c r="J82" s="6" t="n">
        <f aca="false">F82-$J$2</f>
        <v>-0.00532473682268044</v>
      </c>
      <c r="K82" s="6" t="n">
        <f aca="false">G82-$K$2</f>
        <v>-0.0137224669620008</v>
      </c>
      <c r="L82" s="6" t="n">
        <f aca="false">H82-$L$2</f>
        <v>-0.00832725264921098</v>
      </c>
      <c r="S82" s="9" t="n">
        <v>0.86</v>
      </c>
      <c r="T82" s="9" t="n">
        <v>0.97</v>
      </c>
      <c r="U82" s="9" t="n">
        <v>0.33</v>
      </c>
      <c r="V82" s="9" t="n">
        <v>0.72</v>
      </c>
      <c r="W82" s="22" t="n">
        <f aca="false">SUM(S82:V82)</f>
        <v>2.88</v>
      </c>
      <c r="X82" s="23" t="n">
        <f aca="false">S82/$W82</f>
        <v>0.298611111111111</v>
      </c>
      <c r="Y82" s="23" t="n">
        <f aca="false">T82/$W82</f>
        <v>0.336805555555556</v>
      </c>
      <c r="Z82" s="23" t="n">
        <f aca="false">U82/$W82</f>
        <v>0.114583333333333</v>
      </c>
      <c r="AA82" s="23" t="n">
        <f aca="false">V82/$W82</f>
        <v>0.25</v>
      </c>
      <c r="AB82" s="23" t="n">
        <f aca="false">SUM(X82:AA82)</f>
        <v>1</v>
      </c>
      <c r="AC82" s="6" t="n">
        <f aca="false" t="array" ref="AC82:AC82">MMULT(MMULT(X82:AA82,$N$2:$Q$5),TRANSPOSE(X82:AA82))</f>
        <v>0.000243033058150571</v>
      </c>
      <c r="AD82" s="6" t="n">
        <f aca="false">SUMPRODUCT(X82:AA82,$E$237:$H$237)</f>
        <v>-0.000182228378924966</v>
      </c>
      <c r="AE82" s="24" t="n">
        <f aca="false">(AD82-$I$2)/SQRT(AC82)</f>
        <v>-0.0381900189898504</v>
      </c>
      <c r="AF82" s="6" t="n">
        <f aca="false">AD82</f>
        <v>-0.000182228378924966</v>
      </c>
      <c r="AG82" s="6" t="n">
        <f aca="false">AC82</f>
        <v>0.000243033058150571</v>
      </c>
      <c r="AH82" s="23" t="n">
        <f aca="false">X82</f>
        <v>0.298611111111111</v>
      </c>
      <c r="AI82" s="23" t="n">
        <f aca="false">Y82</f>
        <v>0.336805555555556</v>
      </c>
      <c r="AJ82" s="23" t="n">
        <f aca="false">Z82</f>
        <v>0.114583333333333</v>
      </c>
      <c r="AK82" s="23" t="n">
        <f aca="false">AA82</f>
        <v>0.25</v>
      </c>
    </row>
    <row r="83" customFormat="false" ht="15" hidden="false" customHeight="true" outlineLevel="0" collapsed="false">
      <c r="A83" s="22" t="n">
        <f aca="false">aci!H84</f>
        <v>128.2</v>
      </c>
      <c r="B83" s="22" t="n">
        <f aca="false">apexfoot!H84</f>
        <v>202.8</v>
      </c>
      <c r="C83" s="22" t="n">
        <f aca="false">bxpharma!H84</f>
        <v>82.6</v>
      </c>
      <c r="D83" s="22" t="n">
        <f aca="false">batbc!H84</f>
        <v>352.6</v>
      </c>
      <c r="E83" s="6" t="n">
        <f aca="false">LN(A82/A83)</f>
        <v>0.0100893366530228</v>
      </c>
      <c r="F83" s="6" t="n">
        <f aca="false">LN(B82/B83)</f>
        <v>0.00638979809877099</v>
      </c>
      <c r="G83" s="6" t="n">
        <f aca="false">LN(C82/C83)</f>
        <v>0.0072376673002306</v>
      </c>
      <c r="H83" s="6" t="n">
        <f aca="false">LN(D82/D83)</f>
        <v>0.00734674115424502</v>
      </c>
      <c r="I83" s="6" t="n">
        <f aca="false">E83-$I$2</f>
        <v>0.00967620105980243</v>
      </c>
      <c r="J83" s="6" t="n">
        <f aca="false">F83-$J$2</f>
        <v>0.00597666250555065</v>
      </c>
      <c r="K83" s="6" t="n">
        <f aca="false">G83-$K$2</f>
        <v>0.00682453170701027</v>
      </c>
      <c r="L83" s="6" t="n">
        <f aca="false">H83-$L$2</f>
        <v>0.00693360556102468</v>
      </c>
      <c r="S83" s="9" t="n">
        <v>0.38</v>
      </c>
      <c r="T83" s="9" t="n">
        <v>0.56</v>
      </c>
      <c r="U83" s="9" t="n">
        <v>0.91</v>
      </c>
      <c r="V83" s="9" t="n">
        <v>0.1</v>
      </c>
      <c r="W83" s="22" t="n">
        <f aca="false">SUM(S83:V83)</f>
        <v>1.95</v>
      </c>
      <c r="X83" s="23" t="n">
        <f aca="false">S83/$W83</f>
        <v>0.194871794871795</v>
      </c>
      <c r="Y83" s="23" t="n">
        <f aca="false">T83/$W83</f>
        <v>0.287179487179487</v>
      </c>
      <c r="Z83" s="23" t="n">
        <f aca="false">U83/$W83</f>
        <v>0.466666666666667</v>
      </c>
      <c r="AA83" s="23" t="n">
        <f aca="false">V83/$W83</f>
        <v>0.0512820512820513</v>
      </c>
      <c r="AB83" s="23" t="n">
        <f aca="false">SUM(X83:AA83)</f>
        <v>1</v>
      </c>
      <c r="AC83" s="6" t="n">
        <f aca="false" t="array" ref="AC83:AC83">MMULT(MMULT(X83:AA83,$N$2:$Q$5),TRANSPOSE(X83:AA83))</f>
        <v>0.000258314532904936</v>
      </c>
      <c r="AD83" s="6" t="n">
        <f aca="false">SUMPRODUCT(X83:AA83,$E$237:$H$237)</f>
        <v>-0.000209613823148518</v>
      </c>
      <c r="AE83" s="24" t="n">
        <f aca="false">(AD83-$I$2)/SQRT(AC83)</f>
        <v>-0.0387470737130655</v>
      </c>
      <c r="AF83" s="6" t="n">
        <f aca="false">AD83</f>
        <v>-0.000209613823148518</v>
      </c>
      <c r="AG83" s="6" t="n">
        <f aca="false">AC83</f>
        <v>0.000258314532904936</v>
      </c>
      <c r="AH83" s="23" t="n">
        <f aca="false">X83</f>
        <v>0.194871794871795</v>
      </c>
      <c r="AI83" s="23" t="n">
        <f aca="false">Y83</f>
        <v>0.287179487179487</v>
      </c>
      <c r="AJ83" s="23" t="n">
        <f aca="false">Z83</f>
        <v>0.466666666666667</v>
      </c>
      <c r="AK83" s="23" t="n">
        <f aca="false">AA83</f>
        <v>0.0512820512820513</v>
      </c>
    </row>
    <row r="84" customFormat="false" ht="15" hidden="false" customHeight="true" outlineLevel="0" collapsed="false">
      <c r="A84" s="22" t="n">
        <f aca="false">aci!H85</f>
        <v>129.1</v>
      </c>
      <c r="B84" s="22" t="n">
        <f aca="false">apexfoot!H85</f>
        <v>202.4</v>
      </c>
      <c r="C84" s="22" t="n">
        <f aca="false">bxpharma!H85</f>
        <v>82.9</v>
      </c>
      <c r="D84" s="22" t="n">
        <f aca="false">batbc!H85</f>
        <v>353.2</v>
      </c>
      <c r="E84" s="6" t="n">
        <f aca="false">LN(A83/A84)</f>
        <v>-0.00699575336602714</v>
      </c>
      <c r="F84" s="6" t="n">
        <f aca="false">LN(B83/B84)</f>
        <v>0.00197433430371761</v>
      </c>
      <c r="G84" s="6" t="n">
        <f aca="false">LN(C83/C84)</f>
        <v>-0.00362538161431708</v>
      </c>
      <c r="H84" s="6" t="n">
        <f aca="false">LN(D83/D84)</f>
        <v>-0.00170019876603496</v>
      </c>
      <c r="I84" s="6" t="n">
        <f aca="false">E84-$I$2</f>
        <v>-0.00740888895924748</v>
      </c>
      <c r="J84" s="6" t="n">
        <f aca="false">F84-$J$2</f>
        <v>0.00156119871049727</v>
      </c>
      <c r="K84" s="6" t="n">
        <f aca="false">G84-$K$2</f>
        <v>-0.00403851720753742</v>
      </c>
      <c r="L84" s="6" t="n">
        <f aca="false">H84-$L$2</f>
        <v>-0.0021133343592553</v>
      </c>
      <c r="S84" s="9" t="n">
        <v>0.67</v>
      </c>
      <c r="T84" s="9" t="n">
        <v>0.3</v>
      </c>
      <c r="U84" s="9" t="n">
        <v>0.99</v>
      </c>
      <c r="V84" s="9" t="n">
        <v>0.89</v>
      </c>
      <c r="W84" s="22" t="n">
        <f aca="false">SUM(S84:V84)</f>
        <v>2.85</v>
      </c>
      <c r="X84" s="23" t="n">
        <f aca="false">S84/$W84</f>
        <v>0.235087719298246</v>
      </c>
      <c r="Y84" s="23" t="n">
        <f aca="false">T84/$W84</f>
        <v>0.105263157894737</v>
      </c>
      <c r="Z84" s="23" t="n">
        <f aca="false">U84/$W84</f>
        <v>0.347368421052632</v>
      </c>
      <c r="AA84" s="23" t="n">
        <f aca="false">V84/$W84</f>
        <v>0.312280701754386</v>
      </c>
      <c r="AB84" s="23" t="n">
        <f aca="false">SUM(X84:AA84)</f>
        <v>1</v>
      </c>
      <c r="AC84" s="6" t="n">
        <f aca="false" t="array" ref="AC84:AC84">MMULT(MMULT(X84:AA84,$N$2:$Q$5),TRANSPOSE(X84:AA84))</f>
        <v>0.000249673338522188</v>
      </c>
      <c r="AD84" s="6" t="n">
        <f aca="false">SUMPRODUCT(X84:AA84,$E$237:$H$237)</f>
        <v>-0.000258350496331516</v>
      </c>
      <c r="AE84" s="24" t="n">
        <f aca="false">(AD84-$I$2)/SQRT(AC84)</f>
        <v>-0.0424962820739735</v>
      </c>
      <c r="AF84" s="6" t="n">
        <f aca="false">AD84</f>
        <v>-0.000258350496331516</v>
      </c>
      <c r="AG84" s="6" t="n">
        <f aca="false">AC84</f>
        <v>0.000249673338522188</v>
      </c>
      <c r="AH84" s="23" t="n">
        <f aca="false">X84</f>
        <v>0.235087719298246</v>
      </c>
      <c r="AI84" s="23" t="n">
        <f aca="false">Y84</f>
        <v>0.105263157894737</v>
      </c>
      <c r="AJ84" s="23" t="n">
        <f aca="false">Z84</f>
        <v>0.347368421052632</v>
      </c>
      <c r="AK84" s="23" t="n">
        <f aca="false">AA84</f>
        <v>0.312280701754386</v>
      </c>
    </row>
    <row r="85" customFormat="false" ht="15" hidden="false" customHeight="true" outlineLevel="0" collapsed="false">
      <c r="A85" s="22" t="n">
        <f aca="false">aci!H86</f>
        <v>129.9</v>
      </c>
      <c r="B85" s="22" t="n">
        <f aca="false">apexfoot!H86</f>
        <v>202.1</v>
      </c>
      <c r="C85" s="22" t="n">
        <f aca="false">bxpharma!H86</f>
        <v>84.9</v>
      </c>
      <c r="D85" s="22" t="n">
        <f aca="false">batbc!H86</f>
        <v>353.6</v>
      </c>
      <c r="E85" s="6" t="n">
        <f aca="false">LN(A84/A85)</f>
        <v>-0.0061776258239571</v>
      </c>
      <c r="F85" s="6" t="n">
        <f aca="false">LN(B84/B85)</f>
        <v>0.00148331300373519</v>
      </c>
      <c r="G85" s="6" t="n">
        <f aca="false">LN(C84/C85)</f>
        <v>-0.0238390311760523</v>
      </c>
      <c r="H85" s="6" t="n">
        <f aca="false">LN(D84/D85)</f>
        <v>-0.00113186203368353</v>
      </c>
      <c r="I85" s="6" t="n">
        <f aca="false">E85-$I$2</f>
        <v>-0.00659076141717744</v>
      </c>
      <c r="J85" s="6" t="n">
        <f aca="false">F85-$J$2</f>
        <v>0.00107017741051485</v>
      </c>
      <c r="K85" s="6" t="n">
        <f aca="false">G85-$K$2</f>
        <v>-0.0242521667692726</v>
      </c>
      <c r="L85" s="6" t="n">
        <f aca="false">H85-$L$2</f>
        <v>-0.00154499762690387</v>
      </c>
      <c r="S85" s="9" t="n">
        <v>0.12</v>
      </c>
      <c r="T85" s="9" t="n">
        <v>0.63</v>
      </c>
      <c r="U85" s="9" t="n">
        <v>0.7</v>
      </c>
      <c r="V85" s="9" t="n">
        <v>0.38</v>
      </c>
      <c r="W85" s="22" t="n">
        <f aca="false">SUM(S85:V85)</f>
        <v>1.83</v>
      </c>
      <c r="X85" s="23" t="n">
        <f aca="false">S85/$W85</f>
        <v>0.0655737704918033</v>
      </c>
      <c r="Y85" s="23" t="n">
        <f aca="false">T85/$W85</f>
        <v>0.344262295081967</v>
      </c>
      <c r="Z85" s="23" t="n">
        <f aca="false">U85/$W85</f>
        <v>0.382513661202186</v>
      </c>
      <c r="AA85" s="23" t="n">
        <f aca="false">V85/$W85</f>
        <v>0.207650273224044</v>
      </c>
      <c r="AB85" s="23" t="n">
        <f aca="false">SUM(X85:AA85)</f>
        <v>1</v>
      </c>
      <c r="AC85" s="6" t="n">
        <f aca="false" t="array" ref="AC85:AC85">MMULT(MMULT(X85:AA85,$N$2:$Q$5),TRANSPOSE(X85:AA85))</f>
        <v>0.000211082288151981</v>
      </c>
      <c r="AD85" s="6" t="n">
        <f aca="false">SUMPRODUCT(X85:AA85,$E$237:$H$237)</f>
        <v>-0.000509168718130375</v>
      </c>
      <c r="AE85" s="24" t="n">
        <f aca="false">(AD85-$I$2)/SQRT(AC85)</f>
        <v>-0.0634816698501251</v>
      </c>
      <c r="AF85" s="6" t="n">
        <f aca="false">AD85</f>
        <v>-0.000509168718130375</v>
      </c>
      <c r="AG85" s="6" t="n">
        <f aca="false">AC85</f>
        <v>0.000211082288151981</v>
      </c>
      <c r="AH85" s="23" t="n">
        <f aca="false">X85</f>
        <v>0.0655737704918033</v>
      </c>
      <c r="AI85" s="23" t="n">
        <f aca="false">Y85</f>
        <v>0.344262295081967</v>
      </c>
      <c r="AJ85" s="23" t="n">
        <f aca="false">Z85</f>
        <v>0.382513661202186</v>
      </c>
      <c r="AK85" s="23" t="n">
        <f aca="false">AA85</f>
        <v>0.207650273224044</v>
      </c>
    </row>
    <row r="86" customFormat="false" ht="15" hidden="false" customHeight="true" outlineLevel="0" collapsed="false">
      <c r="A86" s="22" t="n">
        <f aca="false">aci!H87</f>
        <v>128.4</v>
      </c>
      <c r="B86" s="22" t="n">
        <f aca="false">apexfoot!H87</f>
        <v>203.5</v>
      </c>
      <c r="C86" s="22" t="n">
        <f aca="false">bxpharma!H87</f>
        <v>86.9</v>
      </c>
      <c r="D86" s="22" t="n">
        <f aca="false">batbc!H87</f>
        <v>354.2</v>
      </c>
      <c r="E86" s="6" t="n">
        <f aca="false">LN(A85/A86)</f>
        <v>0.0116145324206931</v>
      </c>
      <c r="F86" s="6" t="n">
        <f aca="false">LN(B85/B86)</f>
        <v>-0.00690338047307434</v>
      </c>
      <c r="G86" s="6" t="n">
        <f aca="false">LN(C85/C86)</f>
        <v>-0.0232839389540447</v>
      </c>
      <c r="H86" s="6" t="n">
        <f aca="false">LN(D85/D86)</f>
        <v>-0.00169539458524474</v>
      </c>
      <c r="I86" s="6" t="n">
        <f aca="false">E86-$I$2</f>
        <v>0.0112013968274727</v>
      </c>
      <c r="J86" s="6" t="n">
        <f aca="false">F86-$J$2</f>
        <v>-0.00731651606629468</v>
      </c>
      <c r="K86" s="6" t="n">
        <f aca="false">G86-$K$2</f>
        <v>-0.0236970745472651</v>
      </c>
      <c r="L86" s="6" t="n">
        <f aca="false">H86-$L$2</f>
        <v>-0.00210853017846508</v>
      </c>
      <c r="S86" s="9" t="n">
        <v>0.51</v>
      </c>
      <c r="T86" s="9" t="n">
        <v>0.12</v>
      </c>
      <c r="U86" s="9" t="n">
        <v>0.46</v>
      </c>
      <c r="V86" s="9" t="n">
        <v>0.7</v>
      </c>
      <c r="W86" s="22" t="n">
        <f aca="false">SUM(S86:V86)</f>
        <v>1.79</v>
      </c>
      <c r="X86" s="23" t="n">
        <f aca="false">S86/$W86</f>
        <v>0.284916201117318</v>
      </c>
      <c r="Y86" s="23" t="n">
        <f aca="false">T86/$W86</f>
        <v>0.0670391061452514</v>
      </c>
      <c r="Z86" s="23" t="n">
        <f aca="false">U86/$W86</f>
        <v>0.256983240223464</v>
      </c>
      <c r="AA86" s="23" t="n">
        <f aca="false">V86/$W86</f>
        <v>0.391061452513966</v>
      </c>
      <c r="AB86" s="23" t="n">
        <f aca="false">SUM(X86:AA86)</f>
        <v>1</v>
      </c>
      <c r="AC86" s="6" t="n">
        <f aca="false" t="array" ref="AC86:AC86">MMULT(MMULT(X86:AA86,$N$2:$Q$5),TRANSPOSE(X86:AA86))</f>
        <v>0.000264108913752049</v>
      </c>
      <c r="AD86" s="6" t="n">
        <f aca="false">SUMPRODUCT(X86:AA86,$E$237:$H$237)</f>
        <v>-0.000220480532764923</v>
      </c>
      <c r="AE86" s="24" t="n">
        <f aca="false">(AD86-$I$2)/SQRT(AC86)</f>
        <v>-0.0389883352977116</v>
      </c>
      <c r="AF86" s="6" t="n">
        <f aca="false">AD86</f>
        <v>-0.000220480532764923</v>
      </c>
      <c r="AG86" s="6" t="n">
        <f aca="false">AC86</f>
        <v>0.000264108913752049</v>
      </c>
      <c r="AH86" s="23" t="n">
        <f aca="false">X86</f>
        <v>0.284916201117318</v>
      </c>
      <c r="AI86" s="23" t="n">
        <f aca="false">Y86</f>
        <v>0.0670391061452514</v>
      </c>
      <c r="AJ86" s="23" t="n">
        <f aca="false">Z86</f>
        <v>0.256983240223464</v>
      </c>
      <c r="AK86" s="23" t="n">
        <f aca="false">AA86</f>
        <v>0.391061452513966</v>
      </c>
    </row>
    <row r="87" customFormat="false" ht="15" hidden="false" customHeight="true" outlineLevel="0" collapsed="false">
      <c r="A87" s="22" t="n">
        <f aca="false">aci!H88</f>
        <v>124.7</v>
      </c>
      <c r="B87" s="22" t="n">
        <f aca="false">apexfoot!H88</f>
        <v>204</v>
      </c>
      <c r="C87" s="22" t="n">
        <f aca="false">bxpharma!H88</f>
        <v>84.1</v>
      </c>
      <c r="D87" s="22" t="n">
        <f aca="false">batbc!H88</f>
        <v>354.5</v>
      </c>
      <c r="E87" s="6" t="n">
        <f aca="false">LN(A86/A87)</f>
        <v>0.02923953856987</v>
      </c>
      <c r="F87" s="6" t="n">
        <f aca="false">LN(B86/B87)</f>
        <v>-0.0024539889615667</v>
      </c>
      <c r="G87" s="6" t="n">
        <f aca="false">LN(C86/C87)</f>
        <v>0.032751465292444</v>
      </c>
      <c r="H87" s="6" t="n">
        <f aca="false">LN(D86/D87)</f>
        <v>-0.000846620623449112</v>
      </c>
      <c r="I87" s="6" t="n">
        <f aca="false">E87-$I$2</f>
        <v>0.0288264029766496</v>
      </c>
      <c r="J87" s="6" t="n">
        <f aca="false">F87-$J$2</f>
        <v>-0.00286712455478704</v>
      </c>
      <c r="K87" s="6" t="n">
        <f aca="false">G87-$K$2</f>
        <v>0.0323383296992237</v>
      </c>
      <c r="L87" s="6" t="n">
        <f aca="false">H87-$L$2</f>
        <v>-0.00125975621666945</v>
      </c>
      <c r="S87" s="9" t="n">
        <v>0.17</v>
      </c>
      <c r="T87" s="9" t="n">
        <v>0.56</v>
      </c>
      <c r="U87" s="9" t="n">
        <v>0.4</v>
      </c>
      <c r="V87" s="9" t="n">
        <v>0.1</v>
      </c>
      <c r="W87" s="22" t="n">
        <f aca="false">SUM(S87:V87)</f>
        <v>1.23</v>
      </c>
      <c r="X87" s="23" t="n">
        <f aca="false">S87/$W87</f>
        <v>0.138211382113821</v>
      </c>
      <c r="Y87" s="23" t="n">
        <f aca="false">T87/$W87</f>
        <v>0.455284552845528</v>
      </c>
      <c r="Z87" s="23" t="n">
        <f aca="false">U87/$W87</f>
        <v>0.32520325203252</v>
      </c>
      <c r="AA87" s="23" t="n">
        <f aca="false">V87/$W87</f>
        <v>0.0813008130081301</v>
      </c>
      <c r="AB87" s="23" t="n">
        <f aca="false">SUM(X87:AA87)</f>
        <v>1</v>
      </c>
      <c r="AC87" s="6" t="n">
        <f aca="false" t="array" ref="AC87:AC87">MMULT(MMULT(X87:AA87,$N$2:$Q$5),TRANSPOSE(X87:AA87))</f>
        <v>0.000217159354952617</v>
      </c>
      <c r="AD87" s="6" t="n">
        <f aca="false">SUMPRODUCT(X87:AA87,$E$237:$H$237)</f>
        <v>-0.000352785202777786</v>
      </c>
      <c r="AE87" s="24" t="n">
        <f aca="false">(AD87-$I$2)/SQRT(AC87)</f>
        <v>-0.0519750110105395</v>
      </c>
      <c r="AF87" s="6" t="n">
        <f aca="false">AD87</f>
        <v>-0.000352785202777786</v>
      </c>
      <c r="AG87" s="6" t="n">
        <f aca="false">AC87</f>
        <v>0.000217159354952617</v>
      </c>
      <c r="AH87" s="23" t="n">
        <f aca="false">X87</f>
        <v>0.138211382113821</v>
      </c>
      <c r="AI87" s="23" t="n">
        <f aca="false">Y87</f>
        <v>0.455284552845528</v>
      </c>
      <c r="AJ87" s="23" t="n">
        <f aca="false">Z87</f>
        <v>0.32520325203252</v>
      </c>
      <c r="AK87" s="23" t="n">
        <f aca="false">AA87</f>
        <v>0.0813008130081301</v>
      </c>
    </row>
    <row r="88" customFormat="false" ht="15" hidden="false" customHeight="true" outlineLevel="0" collapsed="false">
      <c r="A88" s="22" t="n">
        <f aca="false">aci!H89</f>
        <v>124.4</v>
      </c>
      <c r="B88" s="22" t="n">
        <f aca="false">apexfoot!H89</f>
        <v>201.2</v>
      </c>
      <c r="C88" s="22" t="n">
        <f aca="false">bxpharma!H89</f>
        <v>80.1</v>
      </c>
      <c r="D88" s="22" t="n">
        <f aca="false">batbc!H89</f>
        <v>352.1</v>
      </c>
      <c r="E88" s="6" t="n">
        <f aca="false">LN(A87/A88)</f>
        <v>0.00240867238091173</v>
      </c>
      <c r="F88" s="6" t="n">
        <f aca="false">LN(B87/B88)</f>
        <v>0.0138205556186323</v>
      </c>
      <c r="G88" s="6" t="n">
        <f aca="false">LN(C87/C88)</f>
        <v>0.0487307129045887</v>
      </c>
      <c r="H88" s="6" t="n">
        <f aca="false">LN(D87/D88)</f>
        <v>0.00679311981117523</v>
      </c>
      <c r="I88" s="6" t="n">
        <f aca="false">E88-$I$2</f>
        <v>0.00199553678769139</v>
      </c>
      <c r="J88" s="6" t="n">
        <f aca="false">F88-$J$2</f>
        <v>0.013407420025412</v>
      </c>
      <c r="K88" s="6" t="n">
        <f aca="false">G88-$K$2</f>
        <v>0.0483175773113684</v>
      </c>
      <c r="L88" s="6" t="n">
        <f aca="false">H88-$L$2</f>
        <v>0.00637998421795489</v>
      </c>
      <c r="S88" s="9" t="n">
        <v>0.53</v>
      </c>
      <c r="T88" s="9" t="n">
        <v>0.42</v>
      </c>
      <c r="U88" s="9" t="n">
        <v>0.85</v>
      </c>
      <c r="V88" s="9" t="n">
        <v>0.28</v>
      </c>
      <c r="W88" s="22" t="n">
        <f aca="false">SUM(S88:V88)</f>
        <v>2.08</v>
      </c>
      <c r="X88" s="23" t="n">
        <f aca="false">S88/$W88</f>
        <v>0.254807692307692</v>
      </c>
      <c r="Y88" s="23" t="n">
        <f aca="false">T88/$W88</f>
        <v>0.201923076923077</v>
      </c>
      <c r="Z88" s="23" t="n">
        <f aca="false">U88/$W88</f>
        <v>0.408653846153846</v>
      </c>
      <c r="AA88" s="23" t="n">
        <f aca="false">V88/$W88</f>
        <v>0.134615384615385</v>
      </c>
      <c r="AB88" s="23" t="n">
        <f aca="false">SUM(X88:AA88)</f>
        <v>1</v>
      </c>
      <c r="AC88" s="6" t="n">
        <f aca="false" t="array" ref="AC88:AC88">MMULT(MMULT(X88:AA88,$N$2:$Q$5),TRANSPOSE(X88:AA88))</f>
        <v>0.000258174983330337</v>
      </c>
      <c r="AD88" s="6" t="n">
        <f aca="false">SUMPRODUCT(X88:AA88,$E$237:$H$237)</f>
        <v>-0.000147904504227766</v>
      </c>
      <c r="AE88" s="24" t="n">
        <f aca="false">(AD88-$I$2)/SQRT(AC88)</f>
        <v>-0.0349169919271036</v>
      </c>
      <c r="AF88" s="6" t="n">
        <f aca="false">AD88</f>
        <v>-0.000147904504227766</v>
      </c>
      <c r="AG88" s="6" t="n">
        <f aca="false">AC88</f>
        <v>0.000258174983330337</v>
      </c>
      <c r="AH88" s="23" t="n">
        <f aca="false">X88</f>
        <v>0.254807692307692</v>
      </c>
      <c r="AI88" s="23" t="n">
        <f aca="false">Y88</f>
        <v>0.201923076923077</v>
      </c>
      <c r="AJ88" s="23" t="n">
        <f aca="false">Z88</f>
        <v>0.408653846153846</v>
      </c>
      <c r="AK88" s="23" t="n">
        <f aca="false">AA88</f>
        <v>0.134615384615385</v>
      </c>
    </row>
    <row r="89" customFormat="false" ht="15" hidden="false" customHeight="true" outlineLevel="0" collapsed="false">
      <c r="A89" s="22" t="n">
        <f aca="false">aci!H90</f>
        <v>124.1</v>
      </c>
      <c r="B89" s="22" t="n">
        <f aca="false">apexfoot!H90</f>
        <v>201.3</v>
      </c>
      <c r="C89" s="22" t="n">
        <f aca="false">bxpharma!H90</f>
        <v>80.9</v>
      </c>
      <c r="D89" s="22" t="n">
        <f aca="false">batbc!H90</f>
        <v>356.8</v>
      </c>
      <c r="E89" s="6" t="n">
        <f aca="false">LN(A88/A89)</f>
        <v>0.00241448809451755</v>
      </c>
      <c r="F89" s="6" t="n">
        <f aca="false">LN(B88/B89)</f>
        <v>-0.000496894420161761</v>
      </c>
      <c r="G89" s="6" t="n">
        <f aca="false">LN(C88/C89)</f>
        <v>-0.00993796999013263</v>
      </c>
      <c r="H89" s="6" t="n">
        <f aca="false">LN(D88/D89)</f>
        <v>-0.0132601745448475</v>
      </c>
      <c r="I89" s="6" t="n">
        <f aca="false">E89-$I$2</f>
        <v>0.00200135250129721</v>
      </c>
      <c r="J89" s="6" t="n">
        <f aca="false">F89-$J$2</f>
        <v>-0.0009100300133821</v>
      </c>
      <c r="K89" s="6" t="n">
        <f aca="false">G89-$K$2</f>
        <v>-0.010351105583353</v>
      </c>
      <c r="L89" s="6" t="n">
        <f aca="false">H89-$L$2</f>
        <v>-0.0136733101380678</v>
      </c>
      <c r="S89" s="9" t="n">
        <v>0.36</v>
      </c>
      <c r="T89" s="9" t="n">
        <v>0.59</v>
      </c>
      <c r="U89" s="9" t="n">
        <v>0.19</v>
      </c>
      <c r="V89" s="9" t="n">
        <v>0.33</v>
      </c>
      <c r="W89" s="22" t="n">
        <f aca="false">SUM(S89:V89)</f>
        <v>1.47</v>
      </c>
      <c r="X89" s="23" t="n">
        <f aca="false">S89/$W89</f>
        <v>0.244897959183673</v>
      </c>
      <c r="Y89" s="23" t="n">
        <f aca="false">T89/$W89</f>
        <v>0.401360544217687</v>
      </c>
      <c r="Z89" s="23" t="n">
        <f aca="false">U89/$W89</f>
        <v>0.129251700680272</v>
      </c>
      <c r="AA89" s="23" t="n">
        <f aca="false">V89/$W89</f>
        <v>0.224489795918367</v>
      </c>
      <c r="AB89" s="23" t="n">
        <f aca="false">SUM(X89:AA89)</f>
        <v>1</v>
      </c>
      <c r="AC89" s="6" t="n">
        <f aca="false" t="array" ref="AC89:AC89">MMULT(MMULT(X89:AA89,$N$2:$Q$5),TRANSPOSE(X89:AA89))</f>
        <v>0.000226327453588022</v>
      </c>
      <c r="AD89" s="6" t="n">
        <f aca="false">SUMPRODUCT(X89:AA89,$E$237:$H$237)</f>
        <v>-0.000263491457919159</v>
      </c>
      <c r="AE89" s="24" t="n">
        <f aca="false">(AD89-$I$2)/SQRT(AC89)</f>
        <v>-0.0449759906552106</v>
      </c>
      <c r="AF89" s="6" t="n">
        <f aca="false">AD89</f>
        <v>-0.000263491457919159</v>
      </c>
      <c r="AG89" s="6" t="n">
        <f aca="false">AC89</f>
        <v>0.000226327453588022</v>
      </c>
      <c r="AH89" s="23" t="n">
        <f aca="false">X89</f>
        <v>0.244897959183673</v>
      </c>
      <c r="AI89" s="23" t="n">
        <f aca="false">Y89</f>
        <v>0.401360544217687</v>
      </c>
      <c r="AJ89" s="23" t="n">
        <f aca="false">Z89</f>
        <v>0.129251700680272</v>
      </c>
      <c r="AK89" s="23" t="n">
        <f aca="false">AA89</f>
        <v>0.224489795918367</v>
      </c>
    </row>
    <row r="90" customFormat="false" ht="15" hidden="false" customHeight="true" outlineLevel="0" collapsed="false">
      <c r="A90" s="22" t="n">
        <f aca="false">aci!H91</f>
        <v>122.3</v>
      </c>
      <c r="B90" s="22" t="n">
        <f aca="false">apexfoot!H91</f>
        <v>201.2</v>
      </c>
      <c r="C90" s="22" t="n">
        <f aca="false">bxpharma!H91</f>
        <v>80.9</v>
      </c>
      <c r="D90" s="22" t="n">
        <f aca="false">batbc!H91</f>
        <v>355.2</v>
      </c>
      <c r="E90" s="6" t="n">
        <f aca="false">LN(A89/A90)</f>
        <v>0.0146106495174349</v>
      </c>
      <c r="F90" s="6" t="n">
        <f aca="false">LN(B89/B90)</f>
        <v>0.000496894420161749</v>
      </c>
      <c r="G90" s="6" t="n">
        <f aca="false">LN(C89/C90)</f>
        <v>0</v>
      </c>
      <c r="H90" s="6" t="n">
        <f aca="false">LN(D89/D90)</f>
        <v>0.00449438958783927</v>
      </c>
      <c r="I90" s="6" t="n">
        <f aca="false">E90-$I$2</f>
        <v>0.0141975139242145</v>
      </c>
      <c r="J90" s="6" t="n">
        <f aca="false">F90-$J$2</f>
        <v>8.37588269414095E-005</v>
      </c>
      <c r="K90" s="6" t="n">
        <f aca="false">G90-$K$2</f>
        <v>-0.000413135593220339</v>
      </c>
      <c r="L90" s="6" t="n">
        <f aca="false">H90-$L$2</f>
        <v>0.00408125399461893</v>
      </c>
      <c r="S90" s="9" t="n">
        <v>0.5</v>
      </c>
      <c r="T90" s="9" t="n">
        <v>0.64</v>
      </c>
      <c r="U90" s="9" t="n">
        <v>0.52</v>
      </c>
      <c r="V90" s="9" t="n">
        <v>0.11</v>
      </c>
      <c r="W90" s="22" t="n">
        <f aca="false">SUM(S90:V90)</f>
        <v>1.77</v>
      </c>
      <c r="X90" s="23" t="n">
        <f aca="false">S90/$W90</f>
        <v>0.282485875706215</v>
      </c>
      <c r="Y90" s="23" t="n">
        <f aca="false">T90/$W90</f>
        <v>0.361581920903955</v>
      </c>
      <c r="Z90" s="23" t="n">
        <f aca="false">U90/$W90</f>
        <v>0.293785310734463</v>
      </c>
      <c r="AA90" s="23" t="n">
        <f aca="false">V90/$W90</f>
        <v>0.0621468926553672</v>
      </c>
      <c r="AB90" s="23" t="n">
        <f aca="false">SUM(X90:AA90)</f>
        <v>1</v>
      </c>
      <c r="AC90" s="6" t="n">
        <f aca="false" t="array" ref="AC90:AC90">MMULT(MMULT(X90:AA90,$N$2:$Q$5),TRANSPOSE(X90:AA90))</f>
        <v>0.000242029591823911</v>
      </c>
      <c r="AD90" s="6" t="n">
        <f aca="false">SUMPRODUCT(X90:AA90,$E$237:$H$237)</f>
        <v>-0.000102328129284717</v>
      </c>
      <c r="AE90" s="24" t="n">
        <f aca="false">(AD90-$I$2)/SQRT(AC90)</f>
        <v>-0.0331332373495071</v>
      </c>
      <c r="AF90" s="6" t="n">
        <f aca="false">AD90</f>
        <v>-0.000102328129284717</v>
      </c>
      <c r="AG90" s="6" t="n">
        <f aca="false">AC90</f>
        <v>0.000242029591823911</v>
      </c>
      <c r="AH90" s="23" t="n">
        <f aca="false">X90</f>
        <v>0.282485875706215</v>
      </c>
      <c r="AI90" s="23" t="n">
        <f aca="false">Y90</f>
        <v>0.361581920903955</v>
      </c>
      <c r="AJ90" s="23" t="n">
        <f aca="false">Z90</f>
        <v>0.293785310734463</v>
      </c>
      <c r="AK90" s="23" t="n">
        <f aca="false">AA90</f>
        <v>0.0621468926553672</v>
      </c>
    </row>
    <row r="91" customFormat="false" ht="15" hidden="false" customHeight="true" outlineLevel="0" collapsed="false">
      <c r="A91" s="22" t="n">
        <f aca="false">aci!H92</f>
        <v>121.4</v>
      </c>
      <c r="B91" s="22" t="n">
        <f aca="false">apexfoot!H92</f>
        <v>202.7</v>
      </c>
      <c r="C91" s="22" t="n">
        <f aca="false">bxpharma!H92</f>
        <v>79.8</v>
      </c>
      <c r="D91" s="22" t="n">
        <f aca="false">batbc!H92</f>
        <v>360</v>
      </c>
      <c r="E91" s="6" t="n">
        <f aca="false">LN(A90/A91)</f>
        <v>0.00738616406772877</v>
      </c>
      <c r="F91" s="6" t="n">
        <f aca="false">LN(B90/B91)</f>
        <v>-0.00742761523237016</v>
      </c>
      <c r="G91" s="6" t="n">
        <f aca="false">LN(C90/C91)</f>
        <v>0.0136903196086831</v>
      </c>
      <c r="H91" s="6" t="n">
        <f aca="false">LN(D90/D91)</f>
        <v>-0.0134230203321408</v>
      </c>
      <c r="I91" s="6" t="n">
        <f aca="false">E91-$I$2</f>
        <v>0.00697302847450843</v>
      </c>
      <c r="J91" s="6" t="n">
        <f aca="false">F91-$J$2</f>
        <v>-0.0078407508255905</v>
      </c>
      <c r="K91" s="6" t="n">
        <f aca="false">G91-$K$2</f>
        <v>0.0132771840154627</v>
      </c>
      <c r="L91" s="6" t="n">
        <f aca="false">H91-$L$2</f>
        <v>-0.0138361559253611</v>
      </c>
      <c r="S91" s="9" t="n">
        <v>0.62</v>
      </c>
      <c r="T91" s="9" t="n">
        <v>0.52</v>
      </c>
      <c r="U91" s="9" t="n">
        <v>0.45</v>
      </c>
      <c r="V91" s="9" t="n">
        <v>0.23</v>
      </c>
      <c r="W91" s="22" t="n">
        <f aca="false">SUM(S91:V91)</f>
        <v>1.82</v>
      </c>
      <c r="X91" s="23" t="n">
        <f aca="false">S91/$W91</f>
        <v>0.340659340659341</v>
      </c>
      <c r="Y91" s="23" t="n">
        <f aca="false">T91/$W91</f>
        <v>0.285714285714286</v>
      </c>
      <c r="Z91" s="23" t="n">
        <f aca="false">U91/$W91</f>
        <v>0.247252747252747</v>
      </c>
      <c r="AA91" s="23" t="n">
        <f aca="false">V91/$W91</f>
        <v>0.126373626373626</v>
      </c>
      <c r="AB91" s="23" t="n">
        <f aca="false">SUM(X91:AA91)</f>
        <v>1</v>
      </c>
      <c r="AC91" s="6" t="n">
        <f aca="false" t="array" ref="AC91:AC91">MMULT(MMULT(X91:AA91,$N$2:$Q$5),TRANSPOSE(X91:AA91))</f>
        <v>0.000256110659206875</v>
      </c>
      <c r="AD91" s="6" t="n">
        <f aca="false">SUMPRODUCT(X91:AA91,$E$237:$H$237)</f>
        <v>-3.43302899474931E-005</v>
      </c>
      <c r="AE91" s="24" t="n">
        <f aca="false">(AD91-$I$2)/SQRT(AC91)</f>
        <v>-0.0279605751964623</v>
      </c>
      <c r="AF91" s="6" t="n">
        <f aca="false">AD91</f>
        <v>-3.43302899474931E-005</v>
      </c>
      <c r="AG91" s="6" t="n">
        <f aca="false">AC91</f>
        <v>0.000256110659206875</v>
      </c>
      <c r="AH91" s="23" t="n">
        <f aca="false">X91</f>
        <v>0.340659340659341</v>
      </c>
      <c r="AI91" s="23" t="n">
        <f aca="false">Y91</f>
        <v>0.285714285714286</v>
      </c>
      <c r="AJ91" s="23" t="n">
        <f aca="false">Z91</f>
        <v>0.247252747252747</v>
      </c>
      <c r="AK91" s="23" t="n">
        <f aca="false">AA91</f>
        <v>0.126373626373626</v>
      </c>
    </row>
    <row r="92" customFormat="false" ht="15" hidden="false" customHeight="true" outlineLevel="0" collapsed="false">
      <c r="A92" s="22" t="n">
        <f aca="false">aci!H93</f>
        <v>120.5</v>
      </c>
      <c r="B92" s="22" t="n">
        <f aca="false">apexfoot!H93</f>
        <v>204</v>
      </c>
      <c r="C92" s="22" t="n">
        <f aca="false">bxpharma!H93</f>
        <v>82.4</v>
      </c>
      <c r="D92" s="22" t="n">
        <f aca="false">batbc!H93</f>
        <v>363.8</v>
      </c>
      <c r="E92" s="6" t="n">
        <f aca="false">LN(A91/A92)</f>
        <v>0.00744112569468818</v>
      </c>
      <c r="F92" s="6" t="n">
        <f aca="false">LN(B91/B92)</f>
        <v>-0.00639294038626213</v>
      </c>
      <c r="G92" s="6" t="n">
        <f aca="false">LN(C91/C92)</f>
        <v>-0.032061932459663</v>
      </c>
      <c r="H92" s="6" t="n">
        <f aca="false">LN(D91/D92)</f>
        <v>-0.0105002346338662</v>
      </c>
      <c r="I92" s="6" t="n">
        <f aca="false">E92-$I$2</f>
        <v>0.00702799010146784</v>
      </c>
      <c r="J92" s="6" t="n">
        <f aca="false">F92-$J$2</f>
        <v>-0.00680607597948247</v>
      </c>
      <c r="K92" s="6" t="n">
        <f aca="false">G92-$K$2</f>
        <v>-0.0324750680528834</v>
      </c>
      <c r="L92" s="6" t="n">
        <f aca="false">H92-$L$2</f>
        <v>-0.0109133702270865</v>
      </c>
      <c r="S92" s="9" t="n">
        <v>0.52</v>
      </c>
      <c r="T92" s="9" t="n">
        <v>0.96</v>
      </c>
      <c r="U92" s="9" t="n">
        <v>0.04</v>
      </c>
      <c r="V92" s="9" t="n">
        <v>0.68</v>
      </c>
      <c r="W92" s="22" t="n">
        <f aca="false">SUM(S92:V92)</f>
        <v>2.2</v>
      </c>
      <c r="X92" s="23" t="n">
        <f aca="false">S92/$W92</f>
        <v>0.236363636363636</v>
      </c>
      <c r="Y92" s="23" t="n">
        <f aca="false">T92/$W92</f>
        <v>0.436363636363636</v>
      </c>
      <c r="Z92" s="23" t="n">
        <f aca="false">U92/$W92</f>
        <v>0.0181818181818182</v>
      </c>
      <c r="AA92" s="23" t="n">
        <f aca="false">V92/$W92</f>
        <v>0.309090909090909</v>
      </c>
      <c r="AB92" s="23" t="n">
        <f aca="false">SUM(X92:AA92)</f>
        <v>1</v>
      </c>
      <c r="AC92" s="6" t="n">
        <f aca="false" t="array" ref="AC92:AC92">MMULT(MMULT(X92:AA92,$N$2:$Q$5),TRANSPOSE(X92:AA92))</f>
        <v>0.00024237678105175</v>
      </c>
      <c r="AD92" s="6" t="n">
        <f aca="false">SUMPRODUCT(X92:AA92,$E$237:$H$237)</f>
        <v>-0.000334316026125395</v>
      </c>
      <c r="AE92" s="24" t="n">
        <f aca="false">(AD92-$I$2)/SQRT(AC92)</f>
        <v>-0.0480106494073646</v>
      </c>
      <c r="AF92" s="6" t="n">
        <f aca="false">AD92</f>
        <v>-0.000334316026125395</v>
      </c>
      <c r="AG92" s="6" t="n">
        <f aca="false">AC92</f>
        <v>0.00024237678105175</v>
      </c>
      <c r="AH92" s="23" t="n">
        <f aca="false">X92</f>
        <v>0.236363636363636</v>
      </c>
      <c r="AI92" s="23" t="n">
        <f aca="false">Y92</f>
        <v>0.436363636363636</v>
      </c>
      <c r="AJ92" s="23" t="n">
        <f aca="false">Z92</f>
        <v>0.0181818181818182</v>
      </c>
      <c r="AK92" s="23" t="n">
        <f aca="false">AA92</f>
        <v>0.309090909090909</v>
      </c>
    </row>
    <row r="93" customFormat="false" ht="15" hidden="false" customHeight="true" outlineLevel="0" collapsed="false">
      <c r="A93" s="22" t="n">
        <f aca="false">aci!H94</f>
        <v>123.5</v>
      </c>
      <c r="B93" s="22" t="n">
        <f aca="false">apexfoot!H94</f>
        <v>204.8</v>
      </c>
      <c r="C93" s="22" t="n">
        <f aca="false">bxpharma!H94</f>
        <v>84.5</v>
      </c>
      <c r="D93" s="22" t="n">
        <f aca="false">batbc!H94</f>
        <v>377.5</v>
      </c>
      <c r="E93" s="6" t="n">
        <f aca="false">LN(A92/A93)</f>
        <v>-0.0245914031373222</v>
      </c>
      <c r="F93" s="6" t="n">
        <f aca="false">LN(B92/B93)</f>
        <v>-0.00391389932113633</v>
      </c>
      <c r="G93" s="6" t="n">
        <f aca="false">LN(C92/C93)</f>
        <v>-0.0251660974477021</v>
      </c>
      <c r="H93" s="6" t="n">
        <f aca="false">LN(D92/D93)</f>
        <v>-0.0369663026050575</v>
      </c>
      <c r="I93" s="6" t="n">
        <f aca="false">E93-$I$2</f>
        <v>-0.0250045387305425</v>
      </c>
      <c r="J93" s="6" t="n">
        <f aca="false">F93-$J$2</f>
        <v>-0.00432703491435667</v>
      </c>
      <c r="K93" s="6" t="n">
        <f aca="false">G93-$K$2</f>
        <v>-0.0255792330409225</v>
      </c>
      <c r="L93" s="6" t="n">
        <f aca="false">H93-$L$2</f>
        <v>-0.0373794381982778</v>
      </c>
      <c r="S93" s="9" t="n">
        <v>0.95</v>
      </c>
      <c r="T93" s="9" t="n">
        <v>0.71</v>
      </c>
      <c r="U93" s="9" t="n">
        <v>0.96</v>
      </c>
      <c r="V93" s="9" t="n">
        <v>0.45</v>
      </c>
      <c r="W93" s="22" t="n">
        <f aca="false">SUM(S93:V93)</f>
        <v>3.07</v>
      </c>
      <c r="X93" s="23" t="n">
        <f aca="false">S93/$W93</f>
        <v>0.309446254071661</v>
      </c>
      <c r="Y93" s="23" t="n">
        <f aca="false">T93/$W93</f>
        <v>0.231270358306189</v>
      </c>
      <c r="Z93" s="23" t="n">
        <f aca="false">U93/$W93</f>
        <v>0.312703583061889</v>
      </c>
      <c r="AA93" s="23" t="n">
        <f aca="false">V93/$W93</f>
        <v>0.146579804560261</v>
      </c>
      <c r="AB93" s="23" t="n">
        <f aca="false">SUM(X93:AA93)</f>
        <v>1</v>
      </c>
      <c r="AC93" s="6" t="n">
        <f aca="false" t="array" ref="AC93:AC93">MMULT(MMULT(X93:AA93,$N$2:$Q$5),TRANSPOSE(X93:AA93))</f>
        <v>0.000254992270237155</v>
      </c>
      <c r="AD93" s="6" t="n">
        <f aca="false">SUMPRODUCT(X93:AA93,$E$237:$H$237)</f>
        <v>-7.99315963194108E-005</v>
      </c>
      <c r="AE93" s="24" t="n">
        <f aca="false">(AD93-$I$2)/SQRT(AC93)</f>
        <v>-0.0308775331184073</v>
      </c>
      <c r="AF93" s="6" t="n">
        <f aca="false">AD93</f>
        <v>-7.99315963194108E-005</v>
      </c>
      <c r="AG93" s="6" t="n">
        <f aca="false">AC93</f>
        <v>0.000254992270237155</v>
      </c>
      <c r="AH93" s="23" t="n">
        <f aca="false">X93</f>
        <v>0.309446254071661</v>
      </c>
      <c r="AI93" s="23" t="n">
        <f aca="false">Y93</f>
        <v>0.231270358306189</v>
      </c>
      <c r="AJ93" s="23" t="n">
        <f aca="false">Z93</f>
        <v>0.312703583061889</v>
      </c>
      <c r="AK93" s="23" t="n">
        <f aca="false">AA93</f>
        <v>0.146579804560261</v>
      </c>
    </row>
    <row r="94" customFormat="false" ht="15" hidden="false" customHeight="true" outlineLevel="0" collapsed="false">
      <c r="A94" s="22" t="n">
        <f aca="false">aci!H95</f>
        <v>127</v>
      </c>
      <c r="B94" s="22" t="n">
        <f aca="false">apexfoot!H95</f>
        <v>205.4</v>
      </c>
      <c r="C94" s="22" t="n">
        <f aca="false">bxpharma!H95</f>
        <v>86.9</v>
      </c>
      <c r="D94" s="22" t="n">
        <f aca="false">batbc!H95</f>
        <v>377.5</v>
      </c>
      <c r="E94" s="6" t="n">
        <f aca="false">LN(A93/A94)</f>
        <v>-0.0279459303905593</v>
      </c>
      <c r="F94" s="6" t="n">
        <f aca="false">LN(B93/B94)</f>
        <v>-0.0029254043291051</v>
      </c>
      <c r="G94" s="6" t="n">
        <f aca="false">LN(C93/C94)</f>
        <v>-0.0280064979082182</v>
      </c>
      <c r="H94" s="6" t="n">
        <f aca="false">LN(D93/D94)</f>
        <v>0</v>
      </c>
      <c r="I94" s="6" t="n">
        <f aca="false">E94-$I$2</f>
        <v>-0.0283590659837797</v>
      </c>
      <c r="J94" s="6" t="n">
        <f aca="false">F94-$J$2</f>
        <v>-0.00333853992232544</v>
      </c>
      <c r="K94" s="6" t="n">
        <f aca="false">G94-$K$2</f>
        <v>-0.0284196335014386</v>
      </c>
      <c r="L94" s="6" t="n">
        <f aca="false">H94-$L$2</f>
        <v>-0.000413135593220339</v>
      </c>
      <c r="S94" s="9" t="n">
        <v>0.23</v>
      </c>
      <c r="T94" s="9" t="n">
        <v>0.07</v>
      </c>
      <c r="U94" s="9" t="n">
        <v>0.34</v>
      </c>
      <c r="V94" s="9" t="n">
        <v>0.72</v>
      </c>
      <c r="W94" s="22" t="n">
        <f aca="false">SUM(S94:V94)</f>
        <v>1.36</v>
      </c>
      <c r="X94" s="23" t="n">
        <f aca="false">S94/$W94</f>
        <v>0.169117647058824</v>
      </c>
      <c r="Y94" s="23" t="n">
        <f aca="false">T94/$W94</f>
        <v>0.0514705882352941</v>
      </c>
      <c r="Z94" s="23" t="n">
        <f aca="false">U94/$W94</f>
        <v>0.25</v>
      </c>
      <c r="AA94" s="23" t="n">
        <f aca="false">V94/$W94</f>
        <v>0.529411764705882</v>
      </c>
      <c r="AB94" s="23" t="n">
        <f aca="false">SUM(X94:AA94)</f>
        <v>1</v>
      </c>
      <c r="AC94" s="6" t="n">
        <f aca="false" t="array" ref="AC94:AC94">MMULT(MMULT(X94:AA94,$N$2:$Q$5),TRANSPOSE(X94:AA94))</f>
        <v>0.000243973909343815</v>
      </c>
      <c r="AD94" s="6" t="n">
        <f aca="false">SUMPRODUCT(X94:AA94,$E$237:$H$237)</f>
        <v>-0.000471704791774984</v>
      </c>
      <c r="AE94" s="24" t="n">
        <f aca="false">(AD94-$I$2)/SQRT(AC94)</f>
        <v>-0.0566491298627838</v>
      </c>
      <c r="AF94" s="6" t="n">
        <f aca="false">AD94</f>
        <v>-0.000471704791774984</v>
      </c>
      <c r="AG94" s="6" t="n">
        <f aca="false">AC94</f>
        <v>0.000243973909343815</v>
      </c>
      <c r="AH94" s="23" t="n">
        <f aca="false">X94</f>
        <v>0.169117647058824</v>
      </c>
      <c r="AI94" s="23" t="n">
        <f aca="false">Y94</f>
        <v>0.0514705882352941</v>
      </c>
      <c r="AJ94" s="23" t="n">
        <f aca="false">Z94</f>
        <v>0.25</v>
      </c>
      <c r="AK94" s="23" t="n">
        <f aca="false">AA94</f>
        <v>0.529411764705882</v>
      </c>
    </row>
    <row r="95" customFormat="false" ht="15" hidden="false" customHeight="true" outlineLevel="0" collapsed="false">
      <c r="A95" s="22" t="n">
        <f aca="false">aci!H96</f>
        <v>147.8</v>
      </c>
      <c r="B95" s="22" t="n">
        <f aca="false">apexfoot!H96</f>
        <v>204.1</v>
      </c>
      <c r="C95" s="22" t="n">
        <f aca="false">bxpharma!H96</f>
        <v>91.4</v>
      </c>
      <c r="D95" s="22" t="n">
        <f aca="false">batbc!H96</f>
        <v>378.6</v>
      </c>
      <c r="E95" s="6" t="n">
        <f aca="false">LN(A94/A95)</f>
        <v>-0.15167292205551</v>
      </c>
      <c r="F95" s="6" t="n">
        <f aca="false">LN(B94/B95)</f>
        <v>0.00634922767865874</v>
      </c>
      <c r="G95" s="6" t="n">
        <f aca="false">LN(C94/C95)</f>
        <v>-0.050487446188758</v>
      </c>
      <c r="H95" s="6" t="n">
        <f aca="false">LN(D94/D95)</f>
        <v>-0.00290967008614318</v>
      </c>
      <c r="I95" s="6" t="n">
        <f aca="false">E95-$I$2</f>
        <v>-0.152086057648731</v>
      </c>
      <c r="J95" s="6" t="n">
        <f aca="false">F95-$J$2</f>
        <v>0.00593609208543841</v>
      </c>
      <c r="K95" s="6" t="n">
        <f aca="false">G95-$K$2</f>
        <v>-0.0509005817819783</v>
      </c>
      <c r="L95" s="6" t="n">
        <f aca="false">H95-$L$2</f>
        <v>-0.00332280567936352</v>
      </c>
      <c r="S95" s="9" t="n">
        <v>0.99</v>
      </c>
      <c r="T95" s="9" t="n">
        <v>0.68</v>
      </c>
      <c r="U95" s="9" t="n">
        <v>0.74</v>
      </c>
      <c r="V95" s="9" t="n">
        <v>0.1</v>
      </c>
      <c r="W95" s="22" t="n">
        <f aca="false">SUM(S95:V95)</f>
        <v>2.51</v>
      </c>
      <c r="X95" s="23" t="n">
        <f aca="false">S95/$W95</f>
        <v>0.394422310756972</v>
      </c>
      <c r="Y95" s="23" t="n">
        <f aca="false">T95/$W95</f>
        <v>0.270916334661355</v>
      </c>
      <c r="Z95" s="23" t="n">
        <f aca="false">U95/$W95</f>
        <v>0.294820717131474</v>
      </c>
      <c r="AA95" s="23" t="n">
        <f aca="false">V95/$W95</f>
        <v>0.0398406374501992</v>
      </c>
      <c r="AB95" s="23" t="n">
        <f aca="false">SUM(X95:AA95)</f>
        <v>1</v>
      </c>
      <c r="AC95" s="6" t="n">
        <f aca="false" t="array" ref="AC95:AC95">MMULT(MMULT(X95:AA95,$N$2:$Q$5),TRANSPOSE(X95:AA95))</f>
        <v>0.000283509673150061</v>
      </c>
      <c r="AD95" s="6" t="n">
        <f aca="false">SUMPRODUCT(X95:AA95,$E$237:$H$237)</f>
        <v>0.000100681346100553</v>
      </c>
      <c r="AE95" s="24" t="n">
        <f aca="false">(AD95-$I$2)/SQRT(AC95)</f>
        <v>-0.0185567745589911</v>
      </c>
      <c r="AF95" s="6" t="n">
        <f aca="false">AD95</f>
        <v>0.000100681346100553</v>
      </c>
      <c r="AG95" s="6" t="n">
        <f aca="false">AC95</f>
        <v>0.000283509673150061</v>
      </c>
      <c r="AH95" s="23" t="n">
        <f aca="false">X95</f>
        <v>0.394422310756972</v>
      </c>
      <c r="AI95" s="23" t="n">
        <f aca="false">Y95</f>
        <v>0.270916334661355</v>
      </c>
      <c r="AJ95" s="23" t="n">
        <f aca="false">Z95</f>
        <v>0.294820717131474</v>
      </c>
      <c r="AK95" s="23" t="n">
        <f aca="false">AA95</f>
        <v>0.0398406374501992</v>
      </c>
    </row>
    <row r="96" customFormat="false" ht="15" hidden="false" customHeight="true" outlineLevel="0" collapsed="false">
      <c r="A96" s="22" t="n">
        <f aca="false">aci!H97</f>
        <v>147.8</v>
      </c>
      <c r="B96" s="22" t="n">
        <f aca="false">apexfoot!H97</f>
        <v>204.1</v>
      </c>
      <c r="C96" s="22" t="n">
        <f aca="false">bxpharma!H97</f>
        <v>89.2</v>
      </c>
      <c r="D96" s="22" t="n">
        <f aca="false">batbc!H97</f>
        <v>376.2</v>
      </c>
      <c r="E96" s="6" t="n">
        <f aca="false">LN(A95/A96)</f>
        <v>0</v>
      </c>
      <c r="F96" s="6" t="n">
        <f aca="false">LN(B95/B96)</f>
        <v>0</v>
      </c>
      <c r="G96" s="6" t="n">
        <f aca="false">LN(C95/C96)</f>
        <v>0.0243644388741406</v>
      </c>
      <c r="H96" s="6" t="n">
        <f aca="false">LN(D95/D96)</f>
        <v>0.00635932190829264</v>
      </c>
      <c r="I96" s="6" t="n">
        <f aca="false">E96-$I$2</f>
        <v>-0.000413135593220339</v>
      </c>
      <c r="J96" s="6" t="n">
        <f aca="false">F96-$J$2</f>
        <v>-0.000413135593220339</v>
      </c>
      <c r="K96" s="6" t="n">
        <f aca="false">G96-$K$2</f>
        <v>0.0239513032809203</v>
      </c>
      <c r="L96" s="6" t="n">
        <f aca="false">H96-$L$2</f>
        <v>0.0059461863150723</v>
      </c>
      <c r="S96" s="9" t="n">
        <v>0.04</v>
      </c>
      <c r="T96" s="9" t="n">
        <v>0.17</v>
      </c>
      <c r="U96" s="9" t="n">
        <v>0.75</v>
      </c>
      <c r="V96" s="9" t="n">
        <v>0.77</v>
      </c>
      <c r="W96" s="22" t="n">
        <f aca="false">SUM(S96:V96)</f>
        <v>1.73</v>
      </c>
      <c r="X96" s="23" t="n">
        <f aca="false">S96/$W96</f>
        <v>0.023121387283237</v>
      </c>
      <c r="Y96" s="23" t="n">
        <f aca="false">T96/$W96</f>
        <v>0.0982658959537572</v>
      </c>
      <c r="Z96" s="23" t="n">
        <f aca="false">U96/$W96</f>
        <v>0.433526011560694</v>
      </c>
      <c r="AA96" s="23" t="n">
        <f aca="false">V96/$W96</f>
        <v>0.445086705202312</v>
      </c>
      <c r="AB96" s="23" t="n">
        <f aca="false">SUM(X96:AA96)</f>
        <v>1</v>
      </c>
      <c r="AC96" s="6" t="n">
        <f aca="false" t="array" ref="AC96:AC96">MMULT(MMULT(X96:AA96,$N$2:$Q$5),TRANSPOSE(X96:AA96))</f>
        <v>0.000231096561891624</v>
      </c>
      <c r="AD96" s="6" t="n">
        <f aca="false">SUMPRODUCT(X96:AA96,$E$237:$H$237)</f>
        <v>-0.000652809322953498</v>
      </c>
      <c r="AE96" s="24" t="n">
        <f aca="false">(AD96-$I$2)/SQRT(AC96)</f>
        <v>-0.0701193724247957</v>
      </c>
      <c r="AF96" s="6" t="n">
        <f aca="false">AD96</f>
        <v>-0.000652809322953498</v>
      </c>
      <c r="AG96" s="6" t="n">
        <f aca="false">AC96</f>
        <v>0.000231096561891624</v>
      </c>
      <c r="AH96" s="23" t="n">
        <f aca="false">X96</f>
        <v>0.023121387283237</v>
      </c>
      <c r="AI96" s="23" t="n">
        <f aca="false">Y96</f>
        <v>0.0982658959537572</v>
      </c>
      <c r="AJ96" s="23" t="n">
        <f aca="false">Z96</f>
        <v>0.433526011560694</v>
      </c>
      <c r="AK96" s="23" t="n">
        <f aca="false">AA96</f>
        <v>0.445086705202312</v>
      </c>
    </row>
    <row r="97" customFormat="false" ht="15" hidden="false" customHeight="true" outlineLevel="0" collapsed="false">
      <c r="A97" s="22" t="n">
        <f aca="false">aci!H98</f>
        <v>145.5</v>
      </c>
      <c r="B97" s="22" t="n">
        <f aca="false">apexfoot!H98</f>
        <v>202.2</v>
      </c>
      <c r="C97" s="22" t="n">
        <f aca="false">bxpharma!H98</f>
        <v>84.5</v>
      </c>
      <c r="D97" s="22" t="n">
        <f aca="false">batbc!H98</f>
        <v>373.2</v>
      </c>
      <c r="E97" s="6" t="n">
        <f aca="false">LN(A96/A97)</f>
        <v>0.0156839219025544</v>
      </c>
      <c r="F97" s="6" t="n">
        <f aca="false">LN(B96/B97)</f>
        <v>0.00935276322942815</v>
      </c>
      <c r="G97" s="6" t="n">
        <f aca="false">LN(C96/C97)</f>
        <v>0.0541295052228355</v>
      </c>
      <c r="H97" s="6" t="n">
        <f aca="false">LN(D96/D97)</f>
        <v>0.00800644789374128</v>
      </c>
      <c r="I97" s="6" t="n">
        <f aca="false">E97-$I$2</f>
        <v>0.015270786309334</v>
      </c>
      <c r="J97" s="6" t="n">
        <f aca="false">F97-$J$2</f>
        <v>0.00893962763620781</v>
      </c>
      <c r="K97" s="6" t="n">
        <f aca="false">G97-$K$2</f>
        <v>0.0537163696296152</v>
      </c>
      <c r="L97" s="6" t="n">
        <f aca="false">H97-$L$2</f>
        <v>0.00759331230052094</v>
      </c>
      <c r="S97" s="9" t="n">
        <v>0.31</v>
      </c>
      <c r="T97" s="9" t="n">
        <v>0.59</v>
      </c>
      <c r="U97" s="9" t="n">
        <v>0.4</v>
      </c>
      <c r="V97" s="9" t="n">
        <v>0.28</v>
      </c>
      <c r="W97" s="22" t="n">
        <f aca="false">SUM(S97:V97)</f>
        <v>1.58</v>
      </c>
      <c r="X97" s="23" t="n">
        <f aca="false">S97/$W97</f>
        <v>0.19620253164557</v>
      </c>
      <c r="Y97" s="23" t="n">
        <f aca="false">T97/$W97</f>
        <v>0.373417721518987</v>
      </c>
      <c r="Z97" s="23" t="n">
        <f aca="false">U97/$W97</f>
        <v>0.253164556962025</v>
      </c>
      <c r="AA97" s="23" t="n">
        <f aca="false">V97/$W97</f>
        <v>0.177215189873418</v>
      </c>
      <c r="AB97" s="23" t="n">
        <f aca="false">SUM(X97:AA97)</f>
        <v>1</v>
      </c>
      <c r="AC97" s="6" t="n">
        <f aca="false" t="array" ref="AC97:AC97">MMULT(MMULT(X97:AA97,$N$2:$Q$5),TRANSPOSE(X97:AA97))</f>
        <v>0.000214681201083819</v>
      </c>
      <c r="AD97" s="6" t="n">
        <f aca="false">SUMPRODUCT(X97:AA97,$E$237:$H$237)</f>
        <v>-0.000302185453588438</v>
      </c>
      <c r="AE97" s="24" t="n">
        <f aca="false">(AD97-$I$2)/SQRT(AC97)</f>
        <v>-0.0488206992264792</v>
      </c>
      <c r="AF97" s="6" t="n">
        <f aca="false">AD97</f>
        <v>-0.000302185453588438</v>
      </c>
      <c r="AG97" s="6" t="n">
        <f aca="false">AC97</f>
        <v>0.000214681201083819</v>
      </c>
      <c r="AH97" s="23" t="n">
        <f aca="false">X97</f>
        <v>0.19620253164557</v>
      </c>
      <c r="AI97" s="23" t="n">
        <f aca="false">Y97</f>
        <v>0.373417721518987</v>
      </c>
      <c r="AJ97" s="23" t="n">
        <f aca="false">Z97</f>
        <v>0.253164556962025</v>
      </c>
      <c r="AK97" s="23" t="n">
        <f aca="false">AA97</f>
        <v>0.177215189873418</v>
      </c>
    </row>
    <row r="98" customFormat="false" ht="15" hidden="false" customHeight="true" outlineLevel="0" collapsed="false">
      <c r="A98" s="22" t="n">
        <f aca="false">aci!H99</f>
        <v>145.3</v>
      </c>
      <c r="B98" s="22" t="n">
        <f aca="false">apexfoot!H99</f>
        <v>204.7</v>
      </c>
      <c r="C98" s="22" t="n">
        <f aca="false">bxpharma!H99</f>
        <v>86</v>
      </c>
      <c r="D98" s="22" t="n">
        <f aca="false">batbc!H99</f>
        <v>378.5</v>
      </c>
      <c r="E98" s="6" t="n">
        <f aca="false">LN(A97/A98)</f>
        <v>0.00137551603530988</v>
      </c>
      <c r="F98" s="6" t="n">
        <f aca="false">LN(B97/B98)</f>
        <v>-0.0122881860808728</v>
      </c>
      <c r="G98" s="6" t="n">
        <f aca="false">LN(C97/C98)</f>
        <v>-0.0175957618903796</v>
      </c>
      <c r="H98" s="6" t="n">
        <f aca="false">LN(D97/D98)</f>
        <v>-0.0141016039043147</v>
      </c>
      <c r="I98" s="6" t="n">
        <f aca="false">E98-$I$2</f>
        <v>0.000962380442089538</v>
      </c>
      <c r="J98" s="6" t="n">
        <f aca="false">F98-$J$2</f>
        <v>-0.0127013216740931</v>
      </c>
      <c r="K98" s="6" t="n">
        <f aca="false">G98-$K$2</f>
        <v>-0.0180088974835999</v>
      </c>
      <c r="L98" s="6" t="n">
        <f aca="false">H98-$L$2</f>
        <v>-0.014514739497535</v>
      </c>
      <c r="S98" s="9" t="n">
        <v>0.63</v>
      </c>
      <c r="T98" s="9" t="n">
        <v>0.36</v>
      </c>
      <c r="U98" s="9" t="n">
        <v>0.27</v>
      </c>
      <c r="V98" s="9" t="n">
        <v>0.2</v>
      </c>
      <c r="W98" s="22" t="n">
        <f aca="false">SUM(S98:V98)</f>
        <v>1.46</v>
      </c>
      <c r="X98" s="23" t="n">
        <f aca="false">S98/$W98</f>
        <v>0.431506849315069</v>
      </c>
      <c r="Y98" s="23" t="n">
        <f aca="false">T98/$W98</f>
        <v>0.246575342465753</v>
      </c>
      <c r="Z98" s="23" t="n">
        <f aca="false">U98/$W98</f>
        <v>0.184931506849315</v>
      </c>
      <c r="AA98" s="23" t="n">
        <f aca="false">V98/$W98</f>
        <v>0.136986301369863</v>
      </c>
      <c r="AB98" s="23" t="n">
        <f aca="false">SUM(X98:AA98)</f>
        <v>1</v>
      </c>
      <c r="AC98" s="6" t="n">
        <f aca="false" t="array" ref="AC98:AC98">MMULT(MMULT(X98:AA98,$N$2:$Q$5),TRANSPOSE(X98:AA98))</f>
        <v>0.000291251838171642</v>
      </c>
      <c r="AD98" s="6" t="n">
        <f aca="false">SUMPRODUCT(X98:AA98,$E$237:$H$237)</f>
        <v>0.00010530721452109</v>
      </c>
      <c r="AE98" s="24" t="n">
        <f aca="false">(AD98-$I$2)/SQRT(AC98)</f>
        <v>-0.0180374158276324</v>
      </c>
      <c r="AF98" s="6" t="n">
        <f aca="false">AD98</f>
        <v>0.00010530721452109</v>
      </c>
      <c r="AG98" s="6" t="n">
        <f aca="false">AC98</f>
        <v>0.000291251838171642</v>
      </c>
      <c r="AH98" s="23" t="n">
        <f aca="false">X98</f>
        <v>0.431506849315069</v>
      </c>
      <c r="AI98" s="23" t="n">
        <f aca="false">Y98</f>
        <v>0.246575342465753</v>
      </c>
      <c r="AJ98" s="23" t="n">
        <f aca="false">Z98</f>
        <v>0.184931506849315</v>
      </c>
      <c r="AK98" s="23" t="n">
        <f aca="false">AA98</f>
        <v>0.136986301369863</v>
      </c>
    </row>
    <row r="99" customFormat="false" ht="15" hidden="false" customHeight="true" outlineLevel="0" collapsed="false">
      <c r="A99" s="22" t="n">
        <f aca="false">aci!H100</f>
        <v>144.1</v>
      </c>
      <c r="B99" s="22" t="n">
        <f aca="false">apexfoot!H100</f>
        <v>203</v>
      </c>
      <c r="C99" s="22" t="n">
        <f aca="false">bxpharma!H100</f>
        <v>83.8</v>
      </c>
      <c r="D99" s="22" t="n">
        <f aca="false">batbc!H100</f>
        <v>375.1</v>
      </c>
      <c r="E99" s="6" t="n">
        <f aca="false">LN(A98/A99)</f>
        <v>0.00829306757076095</v>
      </c>
      <c r="F99" s="6" t="n">
        <f aca="false">LN(B98/B99)</f>
        <v>0.00833951362545651</v>
      </c>
      <c r="G99" s="6" t="n">
        <f aca="false">LN(C98/C99)</f>
        <v>0.0259142887654704</v>
      </c>
      <c r="H99" s="6" t="n">
        <f aca="false">LN(D98/D99)</f>
        <v>0.00902341578966171</v>
      </c>
      <c r="I99" s="6" t="n">
        <f aca="false">E99-$I$2</f>
        <v>0.00787993197754061</v>
      </c>
      <c r="J99" s="6" t="n">
        <f aca="false">F99-$J$2</f>
        <v>0.00792637803223618</v>
      </c>
      <c r="K99" s="6" t="n">
        <f aca="false">G99-$K$2</f>
        <v>0.02550115317225</v>
      </c>
      <c r="L99" s="6" t="n">
        <f aca="false">H99-$L$2</f>
        <v>0.00861028019644137</v>
      </c>
      <c r="S99" s="9" t="n">
        <v>0.28</v>
      </c>
      <c r="T99" s="9" t="n">
        <v>0.87</v>
      </c>
      <c r="U99" s="9" t="n">
        <v>0.54</v>
      </c>
      <c r="V99" s="9" t="n">
        <v>0.65</v>
      </c>
      <c r="W99" s="22" t="n">
        <f aca="false">SUM(S99:V99)</f>
        <v>2.34</v>
      </c>
      <c r="X99" s="23" t="n">
        <f aca="false">S99/$W99</f>
        <v>0.11965811965812</v>
      </c>
      <c r="Y99" s="23" t="n">
        <f aca="false">T99/$W99</f>
        <v>0.371794871794872</v>
      </c>
      <c r="Z99" s="23" t="n">
        <f aca="false">U99/$W99</f>
        <v>0.230769230769231</v>
      </c>
      <c r="AA99" s="23" t="n">
        <f aca="false">V99/$W99</f>
        <v>0.277777777777778</v>
      </c>
      <c r="AB99" s="23" t="n">
        <f aca="false">SUM(X99:AA99)</f>
        <v>1</v>
      </c>
      <c r="AC99" s="6" t="n">
        <f aca="false" t="array" ref="AC99:AC99">MMULT(MMULT(X99:AA99,$N$2:$Q$5),TRANSPOSE(X99:AA99))</f>
        <v>0.000201062902713479</v>
      </c>
      <c r="AD99" s="6" t="n">
        <f aca="false">SUMPRODUCT(X99:AA99,$E$237:$H$237)</f>
        <v>-0.000475675191504657</v>
      </c>
      <c r="AE99" s="24" t="n">
        <f aca="false">(AD99-$I$2)/SQRT(AC99)</f>
        <v>-0.0626820716603198</v>
      </c>
      <c r="AF99" s="6" t="n">
        <f aca="false">AD99</f>
        <v>-0.000475675191504657</v>
      </c>
      <c r="AG99" s="6" t="n">
        <f aca="false">AC99</f>
        <v>0.000201062902713479</v>
      </c>
      <c r="AH99" s="23" t="n">
        <f aca="false">X99</f>
        <v>0.11965811965812</v>
      </c>
      <c r="AI99" s="23" t="n">
        <f aca="false">Y99</f>
        <v>0.371794871794872</v>
      </c>
      <c r="AJ99" s="23" t="n">
        <f aca="false">Z99</f>
        <v>0.230769230769231</v>
      </c>
      <c r="AK99" s="23" t="n">
        <f aca="false">AA99</f>
        <v>0.277777777777778</v>
      </c>
    </row>
    <row r="100" customFormat="false" ht="15" hidden="false" customHeight="true" outlineLevel="0" collapsed="false">
      <c r="A100" s="22" t="n">
        <f aca="false">aci!H101</f>
        <v>142</v>
      </c>
      <c r="B100" s="22" t="n">
        <f aca="false">apexfoot!H101</f>
        <v>201</v>
      </c>
      <c r="C100" s="22" t="n">
        <f aca="false">bxpharma!H101</f>
        <v>82.7</v>
      </c>
      <c r="D100" s="22" t="n">
        <f aca="false">batbc!H101</f>
        <v>369.5</v>
      </c>
      <c r="E100" s="6" t="n">
        <f aca="false">LN(A99/A100)</f>
        <v>0.0146804454042155</v>
      </c>
      <c r="F100" s="6" t="n">
        <f aca="false">LN(B99/B100)</f>
        <v>0.00990107098271154</v>
      </c>
      <c r="G100" s="6" t="n">
        <f aca="false">LN(C99/C100)</f>
        <v>0.0132134054583916</v>
      </c>
      <c r="H100" s="6" t="n">
        <f aca="false">LN(D99/D100)</f>
        <v>0.0150419166995852</v>
      </c>
      <c r="I100" s="6" t="n">
        <f aca="false">E100-$I$2</f>
        <v>0.0142673098109952</v>
      </c>
      <c r="J100" s="6" t="n">
        <f aca="false">F100-$J$2</f>
        <v>0.0094879353894912</v>
      </c>
      <c r="K100" s="6" t="n">
        <f aca="false">G100-$K$2</f>
        <v>0.0128002698651713</v>
      </c>
      <c r="L100" s="6" t="n">
        <f aca="false">H100-$L$2</f>
        <v>0.0146287811063649</v>
      </c>
      <c r="S100" s="9" t="n">
        <v>0.31</v>
      </c>
      <c r="T100" s="9" t="n">
        <v>0.68</v>
      </c>
      <c r="U100" s="9" t="n">
        <v>0.24</v>
      </c>
      <c r="V100" s="9" t="n">
        <v>0.95</v>
      </c>
      <c r="W100" s="22" t="n">
        <f aca="false">SUM(S100:V100)</f>
        <v>2.18</v>
      </c>
      <c r="X100" s="23" t="n">
        <f aca="false">S100/$W100</f>
        <v>0.142201834862385</v>
      </c>
      <c r="Y100" s="23" t="n">
        <f aca="false">T100/$W100</f>
        <v>0.311926605504587</v>
      </c>
      <c r="Z100" s="23" t="n">
        <f aca="false">U100/$W100</f>
        <v>0.110091743119266</v>
      </c>
      <c r="AA100" s="23" t="n">
        <f aca="false">V100/$W100</f>
        <v>0.435779816513762</v>
      </c>
      <c r="AB100" s="23" t="n">
        <f aca="false">SUM(X100:AA100)</f>
        <v>1</v>
      </c>
      <c r="AC100" s="6" t="n">
        <f aca="false" t="array" ref="AC100:AC100">MMULT(MMULT(X100:AA100,$N$2:$Q$5),TRANSPOSE(X100:AA100))</f>
        <v>0.000217198818126755</v>
      </c>
      <c r="AD100" s="6" t="n">
        <f aca="false">SUMPRODUCT(X100:AA100,$E$237:$H$237)</f>
        <v>-0.000519991049523106</v>
      </c>
      <c r="AE100" s="24" t="n">
        <f aca="false">(AD100-$I$2)/SQRT(AC100)</f>
        <v>-0.0633157653275214</v>
      </c>
      <c r="AF100" s="6" t="n">
        <f aca="false">AD100</f>
        <v>-0.000519991049523106</v>
      </c>
      <c r="AG100" s="6" t="n">
        <f aca="false">AC100</f>
        <v>0.000217198818126755</v>
      </c>
      <c r="AH100" s="23" t="n">
        <f aca="false">X100</f>
        <v>0.142201834862385</v>
      </c>
      <c r="AI100" s="23" t="n">
        <f aca="false">Y100</f>
        <v>0.311926605504587</v>
      </c>
      <c r="AJ100" s="23" t="n">
        <f aca="false">Z100</f>
        <v>0.110091743119266</v>
      </c>
      <c r="AK100" s="23" t="n">
        <f aca="false">AA100</f>
        <v>0.435779816513762</v>
      </c>
    </row>
    <row r="101" customFormat="false" ht="15" hidden="false" customHeight="true" outlineLevel="0" collapsed="false">
      <c r="A101" s="22" t="n">
        <f aca="false">aci!H102</f>
        <v>142.5</v>
      </c>
      <c r="B101" s="22" t="n">
        <f aca="false">apexfoot!H102</f>
        <v>202.2</v>
      </c>
      <c r="C101" s="22" t="n">
        <f aca="false">bxpharma!H102</f>
        <v>82.5</v>
      </c>
      <c r="D101" s="22" t="n">
        <f aca="false">batbc!H102</f>
        <v>369.9</v>
      </c>
      <c r="E101" s="6" t="n">
        <f aca="false">LN(A100/A101)</f>
        <v>-0.0035149421074445</v>
      </c>
      <c r="F101" s="6" t="n">
        <f aca="false">LN(B100/B101)</f>
        <v>-0.00595239852729527</v>
      </c>
      <c r="G101" s="6" t="n">
        <f aca="false">LN(C100/C101)</f>
        <v>0.00242130868901035</v>
      </c>
      <c r="H101" s="6" t="n">
        <f aca="false">LN(D100/D101)</f>
        <v>-0.00108195845015181</v>
      </c>
      <c r="I101" s="6" t="n">
        <f aca="false">E101-$I$2</f>
        <v>-0.00392807770066484</v>
      </c>
      <c r="J101" s="6" t="n">
        <f aca="false">F101-$J$2</f>
        <v>-0.00636553412051561</v>
      </c>
      <c r="K101" s="6" t="n">
        <f aca="false">G101-$K$2</f>
        <v>0.00200817309579001</v>
      </c>
      <c r="L101" s="6" t="n">
        <f aca="false">H101-$L$2</f>
        <v>-0.00149509404337215</v>
      </c>
      <c r="S101" s="9" t="n">
        <v>0.18</v>
      </c>
      <c r="T101" s="9" t="n">
        <v>0.87</v>
      </c>
      <c r="U101" s="9" t="n">
        <v>0.74</v>
      </c>
      <c r="V101" s="9" t="n">
        <v>0.05</v>
      </c>
      <c r="W101" s="22" t="n">
        <f aca="false">SUM(S101:V101)</f>
        <v>1.84</v>
      </c>
      <c r="X101" s="23" t="n">
        <f aca="false">S101/$W101</f>
        <v>0.0978260869565217</v>
      </c>
      <c r="Y101" s="23" t="n">
        <f aca="false">T101/$W101</f>
        <v>0.472826086956522</v>
      </c>
      <c r="Z101" s="23" t="n">
        <f aca="false">U101/$W101</f>
        <v>0.402173913043478</v>
      </c>
      <c r="AA101" s="23" t="n">
        <f aca="false">V101/$W101</f>
        <v>0.0271739130434783</v>
      </c>
      <c r="AB101" s="23" t="n">
        <f aca="false">SUM(X101:AA101)</f>
        <v>1</v>
      </c>
      <c r="AC101" s="6" t="n">
        <f aca="false" t="array" ref="AC101:AC101">MMULT(MMULT(X101:AA101,$N$2:$Q$5),TRANSPOSE(X101:AA101))</f>
        <v>0.000230931970508602</v>
      </c>
      <c r="AD101" s="6" t="n">
        <f aca="false">SUMPRODUCT(X101:AA101,$E$237:$H$237)</f>
        <v>-0.000385939655166856</v>
      </c>
      <c r="AE101" s="24" t="n">
        <f aca="false">(AD101-$I$2)/SQRT(AC101)</f>
        <v>-0.0525830348287261</v>
      </c>
      <c r="AF101" s="6" t="n">
        <f aca="false">AD101</f>
        <v>-0.000385939655166856</v>
      </c>
      <c r="AG101" s="6" t="n">
        <f aca="false">AC101</f>
        <v>0.000230931970508602</v>
      </c>
      <c r="AH101" s="23" t="n">
        <f aca="false">X101</f>
        <v>0.0978260869565217</v>
      </c>
      <c r="AI101" s="23" t="n">
        <f aca="false">Y101</f>
        <v>0.472826086956522</v>
      </c>
      <c r="AJ101" s="23" t="n">
        <f aca="false">Z101</f>
        <v>0.402173913043478</v>
      </c>
      <c r="AK101" s="23" t="n">
        <f aca="false">AA101</f>
        <v>0.0271739130434783</v>
      </c>
    </row>
    <row r="102" customFormat="false" ht="15" hidden="false" customHeight="true" outlineLevel="0" collapsed="false">
      <c r="A102" s="22" t="n">
        <f aca="false">aci!H103</f>
        <v>143</v>
      </c>
      <c r="B102" s="22" t="n">
        <f aca="false">apexfoot!H103</f>
        <v>204.7</v>
      </c>
      <c r="C102" s="22" t="n">
        <f aca="false">bxpharma!H103</f>
        <v>77.6</v>
      </c>
      <c r="D102" s="22" t="n">
        <f aca="false">batbc!H103</f>
        <v>369.6</v>
      </c>
      <c r="E102" s="6" t="n">
        <f aca="false">LN(A101/A102)</f>
        <v>-0.00350263055120211</v>
      </c>
      <c r="F102" s="6" t="n">
        <f aca="false">LN(B101/B102)</f>
        <v>-0.0122881860808728</v>
      </c>
      <c r="G102" s="6" t="n">
        <f aca="false">LN(C101/C102)</f>
        <v>0.0612308661514622</v>
      </c>
      <c r="H102" s="6" t="n">
        <f aca="false">LN(D101/D102)</f>
        <v>0.000811359070879108</v>
      </c>
      <c r="I102" s="6" t="n">
        <f aca="false">E102-$I$2</f>
        <v>-0.00391576614442245</v>
      </c>
      <c r="J102" s="6" t="n">
        <f aca="false">F102-$J$2</f>
        <v>-0.0127013216740931</v>
      </c>
      <c r="K102" s="6" t="n">
        <f aca="false">G102-$K$2</f>
        <v>0.0608177305582419</v>
      </c>
      <c r="L102" s="6" t="n">
        <f aca="false">H102-$L$2</f>
        <v>0.000398223477658769</v>
      </c>
      <c r="S102" s="9" t="n">
        <v>0.39</v>
      </c>
      <c r="T102" s="9" t="n">
        <v>0.39</v>
      </c>
      <c r="U102" s="9" t="n">
        <v>0.87</v>
      </c>
      <c r="V102" s="9" t="n">
        <v>0.47</v>
      </c>
      <c r="W102" s="22" t="n">
        <f aca="false">SUM(S102:V102)</f>
        <v>2.12</v>
      </c>
      <c r="X102" s="23" t="n">
        <f aca="false">S102/$W102</f>
        <v>0.183962264150943</v>
      </c>
      <c r="Y102" s="23" t="n">
        <f aca="false">T102/$W102</f>
        <v>0.183962264150943</v>
      </c>
      <c r="Z102" s="23" t="n">
        <f aca="false">U102/$W102</f>
        <v>0.410377358490566</v>
      </c>
      <c r="AA102" s="23" t="n">
        <f aca="false">V102/$W102</f>
        <v>0.221698113207547</v>
      </c>
      <c r="AB102" s="23" t="n">
        <f aca="false">SUM(X102:AA102)</f>
        <v>1</v>
      </c>
      <c r="AC102" s="6" t="n">
        <f aca="false" t="array" ref="AC102:AC102">MMULT(MMULT(X102:AA102,$N$2:$Q$5),TRANSPOSE(X102:AA102))</f>
        <v>0.000240415611259102</v>
      </c>
      <c r="AD102" s="6" t="n">
        <f aca="false">SUMPRODUCT(X102:AA102,$E$237:$H$237)</f>
        <v>-0.000301001240940702</v>
      </c>
      <c r="AE102" s="24" t="n">
        <f aca="false">(AD102-$I$2)/SQRT(AC102)</f>
        <v>-0.0460574725015917</v>
      </c>
      <c r="AF102" s="6" t="n">
        <f aca="false">AD102</f>
        <v>-0.000301001240940702</v>
      </c>
      <c r="AG102" s="6" t="n">
        <f aca="false">AC102</f>
        <v>0.000240415611259102</v>
      </c>
      <c r="AH102" s="23" t="n">
        <f aca="false">X102</f>
        <v>0.183962264150943</v>
      </c>
      <c r="AI102" s="23" t="n">
        <f aca="false">Y102</f>
        <v>0.183962264150943</v>
      </c>
      <c r="AJ102" s="23" t="n">
        <f aca="false">Z102</f>
        <v>0.410377358490566</v>
      </c>
      <c r="AK102" s="23" t="n">
        <f aca="false">AA102</f>
        <v>0.221698113207547</v>
      </c>
    </row>
    <row r="103" customFormat="false" ht="15" hidden="false" customHeight="true" outlineLevel="0" collapsed="false">
      <c r="A103" s="22" t="n">
        <f aca="false">aci!H104</f>
        <v>142.5</v>
      </c>
      <c r="B103" s="22" t="n">
        <f aca="false">apexfoot!H104</f>
        <v>207.7</v>
      </c>
      <c r="C103" s="22" t="n">
        <f aca="false">bxpharma!H104</f>
        <v>76.1</v>
      </c>
      <c r="D103" s="22" t="n">
        <f aca="false">batbc!H104</f>
        <v>370.1</v>
      </c>
      <c r="E103" s="6" t="n">
        <f aca="false">LN(A102/A103)</f>
        <v>0.00350263055120207</v>
      </c>
      <c r="F103" s="6" t="n">
        <f aca="false">LN(B102/B103)</f>
        <v>-0.0145492382148228</v>
      </c>
      <c r="G103" s="6" t="n">
        <f aca="false">LN(C102/C103)</f>
        <v>0.0195191623215329</v>
      </c>
      <c r="H103" s="6" t="n">
        <f aca="false">LN(D102/D103)</f>
        <v>-0.0013518996245812</v>
      </c>
      <c r="I103" s="6" t="n">
        <f aca="false">E103-$I$2</f>
        <v>0.00308949495798174</v>
      </c>
      <c r="J103" s="6" t="n">
        <f aca="false">F103-$J$2</f>
        <v>-0.0149623738080431</v>
      </c>
      <c r="K103" s="6" t="n">
        <f aca="false">G103-$K$2</f>
        <v>0.0191060267283126</v>
      </c>
      <c r="L103" s="6" t="n">
        <f aca="false">H103-$L$2</f>
        <v>-0.00176503521780154</v>
      </c>
      <c r="S103" s="9" t="n">
        <v>0.45</v>
      </c>
      <c r="T103" s="9" t="n">
        <v>0.99</v>
      </c>
      <c r="U103" s="9" t="n">
        <v>0.16</v>
      </c>
      <c r="V103" s="9" t="n">
        <v>0.07</v>
      </c>
      <c r="W103" s="22" t="n">
        <f aca="false">SUM(S103:V103)</f>
        <v>1.67</v>
      </c>
      <c r="X103" s="23" t="n">
        <f aca="false">S103/$W103</f>
        <v>0.269461077844311</v>
      </c>
      <c r="Y103" s="23" t="n">
        <f aca="false">T103/$W103</f>
        <v>0.592814371257485</v>
      </c>
      <c r="Z103" s="23" t="n">
        <f aca="false">U103/$W103</f>
        <v>0.0958083832335329</v>
      </c>
      <c r="AA103" s="23" t="n">
        <f aca="false">V103/$W103</f>
        <v>0.0419161676646707</v>
      </c>
      <c r="AB103" s="23" t="n">
        <f aca="false">SUM(X103:AA103)</f>
        <v>1</v>
      </c>
      <c r="AC103" s="6" t="n">
        <f aca="false" t="array" ref="AC103:AC103">MMULT(MMULT(X103:AA103,$N$2:$Q$5),TRANSPOSE(X103:AA103))</f>
        <v>0.000245689641186968</v>
      </c>
      <c r="AD103" s="6" t="n">
        <f aca="false">SUMPRODUCT(X103:AA103,$E$237:$H$237)</f>
        <v>-0.000165728631753208</v>
      </c>
      <c r="AE103" s="24" t="n">
        <f aca="false">(AD103-$I$2)/SQRT(AC103)</f>
        <v>-0.0369303383879489</v>
      </c>
      <c r="AF103" s="6" t="n">
        <f aca="false">AD103</f>
        <v>-0.000165728631753208</v>
      </c>
      <c r="AG103" s="6" t="n">
        <f aca="false">AC103</f>
        <v>0.000245689641186968</v>
      </c>
      <c r="AH103" s="23" t="n">
        <f aca="false">X103</f>
        <v>0.269461077844311</v>
      </c>
      <c r="AI103" s="23" t="n">
        <f aca="false">Y103</f>
        <v>0.592814371257485</v>
      </c>
      <c r="AJ103" s="23" t="n">
        <f aca="false">Z103</f>
        <v>0.0958083832335329</v>
      </c>
      <c r="AK103" s="23" t="n">
        <f aca="false">AA103</f>
        <v>0.0419161676646707</v>
      </c>
    </row>
    <row r="104" customFormat="false" ht="15" hidden="false" customHeight="true" outlineLevel="0" collapsed="false">
      <c r="A104" s="22" t="n">
        <f aca="false">aci!H105</f>
        <v>135.1</v>
      </c>
      <c r="B104" s="22" t="n">
        <f aca="false">apexfoot!H105</f>
        <v>204.2</v>
      </c>
      <c r="C104" s="22" t="n">
        <f aca="false">bxpharma!H105</f>
        <v>74.1</v>
      </c>
      <c r="D104" s="22" t="n">
        <f aca="false">batbc!H105</f>
        <v>371.9</v>
      </c>
      <c r="E104" s="6" t="n">
        <f aca="false">LN(A103/A104)</f>
        <v>0.0533267547425521</v>
      </c>
      <c r="F104" s="6" t="n">
        <f aca="false">LN(B103/B104)</f>
        <v>0.0169948251515015</v>
      </c>
      <c r="G104" s="6" t="n">
        <f aca="false">LN(C103/C104)</f>
        <v>0.026632732565599</v>
      </c>
      <c r="H104" s="6" t="n">
        <f aca="false">LN(D103/D104)</f>
        <v>-0.00485176153891399</v>
      </c>
      <c r="I104" s="6" t="n">
        <f aca="false">E104-$I$2</f>
        <v>0.0529136191493318</v>
      </c>
      <c r="J104" s="6" t="n">
        <f aca="false">F104-$J$2</f>
        <v>0.0165816895582812</v>
      </c>
      <c r="K104" s="6" t="n">
        <f aca="false">G104-$K$2</f>
        <v>0.0262195969723786</v>
      </c>
      <c r="L104" s="6" t="n">
        <f aca="false">H104-$L$2</f>
        <v>-0.00526489713213433</v>
      </c>
      <c r="S104" s="9" t="n">
        <v>0.22</v>
      </c>
      <c r="T104" s="9" t="n">
        <v>0.38</v>
      </c>
      <c r="U104" s="9" t="n">
        <v>0.95</v>
      </c>
      <c r="V104" s="9" t="n">
        <v>0.65</v>
      </c>
      <c r="W104" s="22" t="n">
        <f aca="false">SUM(S104:V104)</f>
        <v>2.2</v>
      </c>
      <c r="X104" s="23" t="n">
        <f aca="false">S104/$W104</f>
        <v>0.1</v>
      </c>
      <c r="Y104" s="23" t="n">
        <f aca="false">T104/$W104</f>
        <v>0.172727272727273</v>
      </c>
      <c r="Z104" s="23" t="n">
        <f aca="false">U104/$W104</f>
        <v>0.431818181818182</v>
      </c>
      <c r="AA104" s="23" t="n">
        <f aca="false">V104/$W104</f>
        <v>0.295454545454545</v>
      </c>
      <c r="AB104" s="23" t="n">
        <f aca="false">SUM(X104:AA104)</f>
        <v>1</v>
      </c>
      <c r="AC104" s="6" t="n">
        <f aca="false" t="array" ref="AC104:AC104">MMULT(MMULT(X104:AA104,$N$2:$Q$5),TRANSPOSE(X104:AA104))</f>
        <v>0.000230357382938707</v>
      </c>
      <c r="AD104" s="6" t="n">
        <f aca="false">SUMPRODUCT(X104:AA104,$E$237:$H$237)</f>
        <v>-0.000467606732446649</v>
      </c>
      <c r="AE104" s="24" t="n">
        <f aca="false">(AD104-$I$2)/SQRT(AC104)</f>
        <v>-0.0580293625242092</v>
      </c>
      <c r="AF104" s="6" t="n">
        <f aca="false">AD104</f>
        <v>-0.000467606732446649</v>
      </c>
      <c r="AG104" s="6" t="n">
        <f aca="false">AC104</f>
        <v>0.000230357382938707</v>
      </c>
      <c r="AH104" s="23" t="n">
        <f aca="false">X104</f>
        <v>0.1</v>
      </c>
      <c r="AI104" s="23" t="n">
        <f aca="false">Y104</f>
        <v>0.172727272727273</v>
      </c>
      <c r="AJ104" s="23" t="n">
        <f aca="false">Z104</f>
        <v>0.431818181818182</v>
      </c>
      <c r="AK104" s="23" t="n">
        <f aca="false">AA104</f>
        <v>0.295454545454545</v>
      </c>
    </row>
    <row r="105" customFormat="false" ht="15" hidden="false" customHeight="true" outlineLevel="0" collapsed="false">
      <c r="A105" s="22" t="n">
        <f aca="false">aci!H106</f>
        <v>130.9</v>
      </c>
      <c r="B105" s="22" t="n">
        <f aca="false">apexfoot!H106</f>
        <v>201.4</v>
      </c>
      <c r="C105" s="22" t="n">
        <f aca="false">bxpharma!H106</f>
        <v>74.2</v>
      </c>
      <c r="D105" s="22" t="n">
        <f aca="false">batbc!H106</f>
        <v>365.6</v>
      </c>
      <c r="E105" s="6" t="n">
        <f aca="false">LN(A104/A105)</f>
        <v>0.0315815720502988</v>
      </c>
      <c r="F105" s="6" t="n">
        <f aca="false">LN(B104/B105)</f>
        <v>0.0138069254461032</v>
      </c>
      <c r="G105" s="6" t="n">
        <f aca="false">LN(C104/C105)</f>
        <v>-0.00134861787129364</v>
      </c>
      <c r="H105" s="6" t="n">
        <f aca="false">LN(D104/D105)</f>
        <v>0.0170851613510293</v>
      </c>
      <c r="I105" s="6" t="n">
        <f aca="false">E105-$I$2</f>
        <v>0.0311684364570785</v>
      </c>
      <c r="J105" s="6" t="n">
        <f aca="false">F105-$J$2</f>
        <v>0.0133937898528829</v>
      </c>
      <c r="K105" s="6" t="n">
        <f aca="false">G105-$K$2</f>
        <v>-0.00176175346451398</v>
      </c>
      <c r="L105" s="6" t="n">
        <f aca="false">H105-$L$2</f>
        <v>0.0166720257578089</v>
      </c>
      <c r="S105" s="9" t="n">
        <v>0.28</v>
      </c>
      <c r="T105" s="9" t="n">
        <v>0.29</v>
      </c>
      <c r="U105" s="9" t="n">
        <v>0.22</v>
      </c>
      <c r="V105" s="9" t="n">
        <v>0.71</v>
      </c>
      <c r="W105" s="22" t="n">
        <f aca="false">SUM(S105:V105)</f>
        <v>1.5</v>
      </c>
      <c r="X105" s="23" t="n">
        <f aca="false">S105/$W105</f>
        <v>0.186666666666667</v>
      </c>
      <c r="Y105" s="23" t="n">
        <f aca="false">T105/$W105</f>
        <v>0.193333333333333</v>
      </c>
      <c r="Z105" s="23" t="n">
        <f aca="false">U105/$W105</f>
        <v>0.146666666666667</v>
      </c>
      <c r="AA105" s="23" t="n">
        <f aca="false">V105/$W105</f>
        <v>0.473333333333333</v>
      </c>
      <c r="AB105" s="23" t="n">
        <f aca="false">SUM(X105:AA105)</f>
        <v>1</v>
      </c>
      <c r="AC105" s="6" t="n">
        <f aca="false" t="array" ref="AC105:AC105">MMULT(MMULT(X105:AA105,$N$2:$Q$5),TRANSPOSE(X105:AA105))</f>
        <v>0.000231035176691628</v>
      </c>
      <c r="AD105" s="6" t="n">
        <f aca="false">SUMPRODUCT(X105:AA105,$E$237:$H$237)</f>
        <v>-0.000446658070950354</v>
      </c>
      <c r="AE105" s="24" t="n">
        <f aca="false">(AD105-$I$2)/SQRT(AC105)</f>
        <v>-0.0565659630957764</v>
      </c>
      <c r="AF105" s="6" t="n">
        <f aca="false">AD105</f>
        <v>-0.000446658070950354</v>
      </c>
      <c r="AG105" s="6" t="n">
        <f aca="false">AC105</f>
        <v>0.000231035176691628</v>
      </c>
      <c r="AH105" s="23" t="n">
        <f aca="false">X105</f>
        <v>0.186666666666667</v>
      </c>
      <c r="AI105" s="23" t="n">
        <f aca="false">Y105</f>
        <v>0.193333333333333</v>
      </c>
      <c r="AJ105" s="23" t="n">
        <f aca="false">Z105</f>
        <v>0.146666666666667</v>
      </c>
      <c r="AK105" s="23" t="n">
        <f aca="false">AA105</f>
        <v>0.473333333333333</v>
      </c>
    </row>
    <row r="106" customFormat="false" ht="15" hidden="false" customHeight="true" outlineLevel="0" collapsed="false">
      <c r="A106" s="22" t="n">
        <f aca="false">aci!H107</f>
        <v>135.1</v>
      </c>
      <c r="B106" s="22" t="n">
        <f aca="false">apexfoot!H107</f>
        <v>203.1</v>
      </c>
      <c r="C106" s="22" t="n">
        <f aca="false">bxpharma!H107</f>
        <v>74</v>
      </c>
      <c r="D106" s="22" t="n">
        <f aca="false">batbc!H107</f>
        <v>373.4</v>
      </c>
      <c r="E106" s="6" t="n">
        <f aca="false">LN(A105/A106)</f>
        <v>-0.0315815720502988</v>
      </c>
      <c r="F106" s="6" t="n">
        <f aca="false">LN(B105/B106)</f>
        <v>-0.00840548830187704</v>
      </c>
      <c r="G106" s="6" t="n">
        <f aca="false">LN(C105/C106)</f>
        <v>0.00269905696916498</v>
      </c>
      <c r="H106" s="6" t="n">
        <f aca="false">LN(D105/D106)</f>
        <v>-0.0211103915276272</v>
      </c>
      <c r="I106" s="6" t="n">
        <f aca="false">E106-$I$2</f>
        <v>-0.0319947076435191</v>
      </c>
      <c r="J106" s="6" t="n">
        <f aca="false">F106-$J$2</f>
        <v>-0.00881862389509738</v>
      </c>
      <c r="K106" s="6" t="n">
        <f aca="false">G106-$K$2</f>
        <v>0.00228592137594464</v>
      </c>
      <c r="L106" s="6" t="n">
        <f aca="false">H106-$L$2</f>
        <v>-0.0215235271208476</v>
      </c>
      <c r="S106" s="9" t="n">
        <v>0.61</v>
      </c>
      <c r="T106" s="9" t="n">
        <v>0.59</v>
      </c>
      <c r="U106" s="9" t="n">
        <v>0.79</v>
      </c>
      <c r="V106" s="9" t="n">
        <v>0.84</v>
      </c>
      <c r="W106" s="22" t="n">
        <f aca="false">SUM(S106:V106)</f>
        <v>2.83</v>
      </c>
      <c r="X106" s="23" t="n">
        <f aca="false">S106/$W106</f>
        <v>0.215547703180212</v>
      </c>
      <c r="Y106" s="23" t="n">
        <f aca="false">T106/$W106</f>
        <v>0.208480565371025</v>
      </c>
      <c r="Z106" s="23" t="n">
        <f aca="false">U106/$W106</f>
        <v>0.279151943462898</v>
      </c>
      <c r="AA106" s="23" t="n">
        <f aca="false">V106/$W106</f>
        <v>0.296819787985866</v>
      </c>
      <c r="AB106" s="23" t="n">
        <f aca="false">SUM(X106:AA106)</f>
        <v>1</v>
      </c>
      <c r="AC106" s="6" t="n">
        <f aca="false" t="array" ref="AC106:AC106">MMULT(MMULT(X106:AA106,$N$2:$Q$5),TRANSPOSE(X106:AA106))</f>
        <v>0.000227011175185045</v>
      </c>
      <c r="AD106" s="6" t="n">
        <f aca="false">SUMPRODUCT(X106:AA106,$E$237:$H$237)</f>
        <v>-0.000303495844886919</v>
      </c>
      <c r="AE106" s="24" t="n">
        <f aca="false">(AD106-$I$2)/SQRT(AC106)</f>
        <v>-0.0475633283754153</v>
      </c>
      <c r="AF106" s="6" t="n">
        <f aca="false">AD106</f>
        <v>-0.000303495844886919</v>
      </c>
      <c r="AG106" s="6" t="n">
        <f aca="false">AC106</f>
        <v>0.000227011175185045</v>
      </c>
      <c r="AH106" s="23" t="n">
        <f aca="false">X106</f>
        <v>0.215547703180212</v>
      </c>
      <c r="AI106" s="23" t="n">
        <f aca="false">Y106</f>
        <v>0.208480565371025</v>
      </c>
      <c r="AJ106" s="23" t="n">
        <f aca="false">Z106</f>
        <v>0.279151943462898</v>
      </c>
      <c r="AK106" s="23" t="n">
        <f aca="false">AA106</f>
        <v>0.296819787985866</v>
      </c>
    </row>
    <row r="107" customFormat="false" ht="15" hidden="false" customHeight="true" outlineLevel="0" collapsed="false">
      <c r="A107" s="22" t="n">
        <f aca="false">aci!H108</f>
        <v>138.5</v>
      </c>
      <c r="B107" s="22" t="n">
        <f aca="false">apexfoot!H108</f>
        <v>205.2</v>
      </c>
      <c r="C107" s="22" t="n">
        <f aca="false">bxpharma!H108</f>
        <v>73.7</v>
      </c>
      <c r="D107" s="22" t="n">
        <f aca="false">batbc!H108</f>
        <v>375.6</v>
      </c>
      <c r="E107" s="6" t="n">
        <f aca="false">LN(A106/A107)</f>
        <v>-0.02485508066124</v>
      </c>
      <c r="F107" s="6" t="n">
        <f aca="false">LN(B106/B107)</f>
        <v>-0.0102866447102754</v>
      </c>
      <c r="G107" s="6" t="n">
        <f aca="false">LN(C106/C107)</f>
        <v>0.00406229400887871</v>
      </c>
      <c r="H107" s="6" t="n">
        <f aca="false">LN(D106/D107)</f>
        <v>-0.00587451622648577</v>
      </c>
      <c r="I107" s="6" t="n">
        <f aca="false">E107-$I$2</f>
        <v>-0.0252682162544604</v>
      </c>
      <c r="J107" s="6" t="n">
        <f aca="false">F107-$J$2</f>
        <v>-0.0106997803034958</v>
      </c>
      <c r="K107" s="6" t="n">
        <f aca="false">G107-$K$2</f>
        <v>0.00364915841565837</v>
      </c>
      <c r="L107" s="6" t="n">
        <f aca="false">H107-$L$2</f>
        <v>-0.00628765181970611</v>
      </c>
      <c r="S107" s="9" t="n">
        <v>0.27</v>
      </c>
      <c r="T107" s="9" t="n">
        <v>0.3</v>
      </c>
      <c r="U107" s="9" t="n">
        <v>0.16</v>
      </c>
      <c r="V107" s="9" t="n">
        <v>0.57</v>
      </c>
      <c r="W107" s="22" t="n">
        <f aca="false">SUM(S107:V107)</f>
        <v>1.3</v>
      </c>
      <c r="X107" s="23" t="n">
        <f aca="false">S107/$W107</f>
        <v>0.207692307692308</v>
      </c>
      <c r="Y107" s="23" t="n">
        <f aca="false">T107/$W107</f>
        <v>0.230769230769231</v>
      </c>
      <c r="Z107" s="23" t="n">
        <f aca="false">U107/$W107</f>
        <v>0.123076923076923</v>
      </c>
      <c r="AA107" s="23" t="n">
        <f aca="false">V107/$W107</f>
        <v>0.438461538461538</v>
      </c>
      <c r="AB107" s="23" t="n">
        <f aca="false">SUM(X107:AA107)</f>
        <v>1</v>
      </c>
      <c r="AC107" s="6" t="n">
        <f aca="false" t="array" ref="AC107:AC107">MMULT(MMULT(X107:AA107,$N$2:$Q$5),TRANSPOSE(X107:AA107))</f>
        <v>0.000232566483594909</v>
      </c>
      <c r="AD107" s="6" t="n">
        <f aca="false">SUMPRODUCT(X107:AA107,$E$237:$H$237)</f>
        <v>-0.00040366479813822</v>
      </c>
      <c r="AE107" s="24" t="n">
        <f aca="false">(AD107-$I$2)/SQRT(AC107)</f>
        <v>-0.0535602226823312</v>
      </c>
      <c r="AF107" s="6" t="n">
        <f aca="false">AD107</f>
        <v>-0.00040366479813822</v>
      </c>
      <c r="AG107" s="6" t="n">
        <f aca="false">AC107</f>
        <v>0.000232566483594909</v>
      </c>
      <c r="AH107" s="23" t="n">
        <f aca="false">X107</f>
        <v>0.207692307692308</v>
      </c>
      <c r="AI107" s="23" t="n">
        <f aca="false">Y107</f>
        <v>0.230769230769231</v>
      </c>
      <c r="AJ107" s="23" t="n">
        <f aca="false">Z107</f>
        <v>0.123076923076923</v>
      </c>
      <c r="AK107" s="23" t="n">
        <f aca="false">AA107</f>
        <v>0.438461538461538</v>
      </c>
    </row>
    <row r="108" customFormat="false" ht="15" hidden="false" customHeight="true" outlineLevel="0" collapsed="false">
      <c r="A108" s="22" t="n">
        <f aca="false">aci!H109</f>
        <v>127</v>
      </c>
      <c r="B108" s="22" t="n">
        <f aca="false">apexfoot!H109</f>
        <v>195.7</v>
      </c>
      <c r="C108" s="22" t="n">
        <f aca="false">bxpharma!H109</f>
        <v>73</v>
      </c>
      <c r="D108" s="22" t="n">
        <f aca="false">batbc!H109</f>
        <v>346.1</v>
      </c>
      <c r="E108" s="6" t="n">
        <f aca="false">LN(A107/A108)</f>
        <v>0.086683239168802</v>
      </c>
      <c r="F108" s="6" t="n">
        <f aca="false">LN(B107/B108)</f>
        <v>0.0474022388945839</v>
      </c>
      <c r="G108" s="6" t="n">
        <f aca="false">LN(C107/C108)</f>
        <v>0.00954335804689992</v>
      </c>
      <c r="H108" s="6" t="n">
        <f aca="false">LN(D107/D108)</f>
        <v>0.0817969966928093</v>
      </c>
      <c r="I108" s="6" t="n">
        <f aca="false">E108-$I$2</f>
        <v>0.0862701035755816</v>
      </c>
      <c r="J108" s="6" t="n">
        <f aca="false">F108-$J$2</f>
        <v>0.0469891033013636</v>
      </c>
      <c r="K108" s="6" t="n">
        <f aca="false">G108-$K$2</f>
        <v>0.00913022245367958</v>
      </c>
      <c r="L108" s="6" t="n">
        <f aca="false">H108-$L$2</f>
        <v>0.081383861099589</v>
      </c>
      <c r="S108" s="9" t="n">
        <v>0.18</v>
      </c>
      <c r="T108" s="9" t="n">
        <v>0.37</v>
      </c>
      <c r="U108" s="9" t="n">
        <v>0.05</v>
      </c>
      <c r="V108" s="9" t="n">
        <v>0.62</v>
      </c>
      <c r="W108" s="22" t="n">
        <f aca="false">SUM(S108:V108)</f>
        <v>1.22</v>
      </c>
      <c r="X108" s="23" t="n">
        <f aca="false">S108/$W108</f>
        <v>0.147540983606557</v>
      </c>
      <c r="Y108" s="23" t="n">
        <f aca="false">T108/$W108</f>
        <v>0.30327868852459</v>
      </c>
      <c r="Z108" s="23" t="n">
        <f aca="false">U108/$W108</f>
        <v>0.0409836065573771</v>
      </c>
      <c r="AA108" s="23" t="n">
        <f aca="false">V108/$W108</f>
        <v>0.508196721311475</v>
      </c>
      <c r="AB108" s="23" t="n">
        <f aca="false">SUM(X108:AA108)</f>
        <v>1</v>
      </c>
      <c r="AC108" s="6" t="n">
        <f aca="false" t="array" ref="AC108:AC108">MMULT(MMULT(X108:AA108,$N$2:$Q$5),TRANSPOSE(X108:AA108))</f>
        <v>0.000235250538153687</v>
      </c>
      <c r="AD108" s="6" t="n">
        <f aca="false">SUMPRODUCT(X108:AA108,$E$237:$H$237)</f>
        <v>-0.000552327134200477</v>
      </c>
      <c r="AE108" s="24" t="n">
        <f aca="false">(AD108-$I$2)/SQRT(AC108)</f>
        <v>-0.0629462988488937</v>
      </c>
      <c r="AF108" s="6" t="n">
        <f aca="false">AD108</f>
        <v>-0.000552327134200477</v>
      </c>
      <c r="AG108" s="6" t="n">
        <f aca="false">AC108</f>
        <v>0.000235250538153687</v>
      </c>
      <c r="AH108" s="23" t="n">
        <f aca="false">X108</f>
        <v>0.147540983606557</v>
      </c>
      <c r="AI108" s="23" t="n">
        <f aca="false">Y108</f>
        <v>0.30327868852459</v>
      </c>
      <c r="AJ108" s="23" t="n">
        <f aca="false">Z108</f>
        <v>0.0409836065573771</v>
      </c>
      <c r="AK108" s="23" t="n">
        <f aca="false">AA108</f>
        <v>0.508196721311475</v>
      </c>
    </row>
    <row r="109" customFormat="false" ht="15" hidden="false" customHeight="true" outlineLevel="0" collapsed="false">
      <c r="A109" s="22" t="n">
        <f aca="false">aci!H110</f>
        <v>114.7</v>
      </c>
      <c r="B109" s="22" t="n">
        <f aca="false">apexfoot!H110</f>
        <v>192.1</v>
      </c>
      <c r="C109" s="22" t="n">
        <f aca="false">bxpharma!H110</f>
        <v>69.9</v>
      </c>
      <c r="D109" s="22" t="n">
        <f aca="false">batbc!H110</f>
        <v>333.3</v>
      </c>
      <c r="E109" s="6" t="n">
        <f aca="false">LN(A108/A109)</f>
        <v>0.101867062323266</v>
      </c>
      <c r="F109" s="6" t="n">
        <f aca="false">LN(B108/B109)</f>
        <v>0.0185668046275196</v>
      </c>
      <c r="G109" s="6" t="n">
        <f aca="false">LN(C108/C109)</f>
        <v>0.0433937919086265</v>
      </c>
      <c r="H109" s="6" t="n">
        <f aca="false">LN(D108/D109)</f>
        <v>0.0376847653276047</v>
      </c>
      <c r="I109" s="6" t="n">
        <f aca="false">E109-$I$2</f>
        <v>0.101453926730046</v>
      </c>
      <c r="J109" s="6" t="n">
        <f aca="false">F109-$J$2</f>
        <v>0.0181536690342993</v>
      </c>
      <c r="K109" s="6" t="n">
        <f aca="false">G109-$K$2</f>
        <v>0.0429806563154062</v>
      </c>
      <c r="L109" s="6" t="n">
        <f aca="false">H109-$L$2</f>
        <v>0.0372716297343844</v>
      </c>
      <c r="S109" s="9" t="n">
        <v>0.42</v>
      </c>
      <c r="T109" s="9" t="n">
        <v>0.28</v>
      </c>
      <c r="U109" s="9" t="n">
        <v>0.72</v>
      </c>
      <c r="V109" s="9" t="n">
        <v>0.35</v>
      </c>
      <c r="W109" s="22" t="n">
        <f aca="false">SUM(S109:V109)</f>
        <v>1.77</v>
      </c>
      <c r="X109" s="23" t="n">
        <f aca="false">S109/$W109</f>
        <v>0.23728813559322</v>
      </c>
      <c r="Y109" s="23" t="n">
        <f aca="false">T109/$W109</f>
        <v>0.15819209039548</v>
      </c>
      <c r="Z109" s="23" t="n">
        <f aca="false">U109/$W109</f>
        <v>0.406779661016949</v>
      </c>
      <c r="AA109" s="23" t="n">
        <f aca="false">V109/$W109</f>
        <v>0.19774011299435</v>
      </c>
      <c r="AB109" s="23" t="n">
        <f aca="false">SUM(X109:AA109)</f>
        <v>1</v>
      </c>
      <c r="AC109" s="6" t="n">
        <f aca="false" t="array" ref="AC109:AC109">MMULT(MMULT(X109:AA109,$N$2:$Q$5),TRANSPOSE(X109:AA109))</f>
        <v>0.000255120052795671</v>
      </c>
      <c r="AD109" s="6" t="n">
        <f aca="false">SUMPRODUCT(X109:AA109,$E$237:$H$237)</f>
        <v>-0.000200672799446111</v>
      </c>
      <c r="AE109" s="24" t="n">
        <f aca="false">(AD109-$I$2)/SQRT(AC109)</f>
        <v>-0.0384291274945695</v>
      </c>
      <c r="AF109" s="6" t="n">
        <f aca="false">AD109</f>
        <v>-0.000200672799446111</v>
      </c>
      <c r="AG109" s="6" t="n">
        <f aca="false">AC109</f>
        <v>0.000255120052795671</v>
      </c>
      <c r="AH109" s="23" t="n">
        <f aca="false">X109</f>
        <v>0.23728813559322</v>
      </c>
      <c r="AI109" s="23" t="n">
        <f aca="false">Y109</f>
        <v>0.15819209039548</v>
      </c>
      <c r="AJ109" s="23" t="n">
        <f aca="false">Z109</f>
        <v>0.406779661016949</v>
      </c>
      <c r="AK109" s="23" t="n">
        <f aca="false">AA109</f>
        <v>0.19774011299435</v>
      </c>
    </row>
    <row r="110" customFormat="false" ht="15" hidden="false" customHeight="true" outlineLevel="0" collapsed="false">
      <c r="A110" s="22" t="n">
        <f aca="false">aci!H111</f>
        <v>117</v>
      </c>
      <c r="B110" s="22" t="n">
        <f aca="false">apexfoot!H111</f>
        <v>195.1</v>
      </c>
      <c r="C110" s="22" t="n">
        <f aca="false">bxpharma!H111</f>
        <v>69.4</v>
      </c>
      <c r="D110" s="22" t="n">
        <f aca="false">batbc!H111</f>
        <v>342.2</v>
      </c>
      <c r="E110" s="6" t="n">
        <f aca="false">LN(A109/A110)</f>
        <v>-0.019853910662431</v>
      </c>
      <c r="F110" s="6" t="n">
        <f aca="false">LN(B109/B110)</f>
        <v>-0.0154961778545545</v>
      </c>
      <c r="G110" s="6" t="n">
        <f aca="false">LN(C109/C110)</f>
        <v>0.00717878172700577</v>
      </c>
      <c r="H110" s="6" t="n">
        <f aca="false">LN(D109/D110)</f>
        <v>-0.0263523761443991</v>
      </c>
      <c r="I110" s="6" t="n">
        <f aca="false">E110-$I$2</f>
        <v>-0.0202670462556514</v>
      </c>
      <c r="J110" s="6" t="n">
        <f aca="false">F110-$J$2</f>
        <v>-0.0159093134477749</v>
      </c>
      <c r="K110" s="6" t="n">
        <f aca="false">G110-$K$2</f>
        <v>0.00676564613378543</v>
      </c>
      <c r="L110" s="6" t="n">
        <f aca="false">H110-$L$2</f>
        <v>-0.0267655117376194</v>
      </c>
      <c r="S110" s="9" t="n">
        <v>0.63</v>
      </c>
      <c r="T110" s="9" t="n">
        <v>1</v>
      </c>
      <c r="U110" s="9" t="n">
        <v>0.99</v>
      </c>
      <c r="V110" s="9" t="n">
        <v>0.81</v>
      </c>
      <c r="W110" s="22" t="n">
        <f aca="false">SUM(S110:V110)</f>
        <v>3.43</v>
      </c>
      <c r="X110" s="23" t="n">
        <f aca="false">S110/$W110</f>
        <v>0.183673469387755</v>
      </c>
      <c r="Y110" s="23" t="n">
        <f aca="false">T110/$W110</f>
        <v>0.291545189504373</v>
      </c>
      <c r="Z110" s="23" t="n">
        <f aca="false">U110/$W110</f>
        <v>0.288629737609329</v>
      </c>
      <c r="AA110" s="23" t="n">
        <f aca="false">V110/$W110</f>
        <v>0.236151603498542</v>
      </c>
      <c r="AB110" s="23" t="n">
        <f aca="false">SUM(X110:AA110)</f>
        <v>1</v>
      </c>
      <c r="AC110" s="6" t="n">
        <f aca="false" t="array" ref="AC110:AC110">MMULT(MMULT(X110:AA110,$N$2:$Q$5),TRANSPOSE(X110:AA110))</f>
        <v>0.000215710000232017</v>
      </c>
      <c r="AD110" s="6" t="n">
        <f aca="false">SUMPRODUCT(X110:AA110,$E$237:$H$237)</f>
        <v>-0.000335817917069523</v>
      </c>
      <c r="AE110" s="24" t="n">
        <f aca="false">(AD110-$I$2)/SQRT(AC110)</f>
        <v>-0.0509940753062763</v>
      </c>
      <c r="AF110" s="6" t="n">
        <f aca="false">AD110</f>
        <v>-0.000335817917069523</v>
      </c>
      <c r="AG110" s="6" t="n">
        <f aca="false">AC110</f>
        <v>0.000215710000232017</v>
      </c>
      <c r="AH110" s="23" t="n">
        <f aca="false">X110</f>
        <v>0.183673469387755</v>
      </c>
      <c r="AI110" s="23" t="n">
        <f aca="false">Y110</f>
        <v>0.291545189504373</v>
      </c>
      <c r="AJ110" s="23" t="n">
        <f aca="false">Z110</f>
        <v>0.288629737609329</v>
      </c>
      <c r="AK110" s="23" t="n">
        <f aca="false">AA110</f>
        <v>0.236151603498542</v>
      </c>
    </row>
    <row r="111" customFormat="false" ht="15" hidden="false" customHeight="true" outlineLevel="0" collapsed="false">
      <c r="A111" s="22" t="n">
        <f aca="false">aci!H112</f>
        <v>121</v>
      </c>
      <c r="B111" s="22" t="n">
        <f aca="false">apexfoot!H112</f>
        <v>199.3</v>
      </c>
      <c r="C111" s="22" t="n">
        <f aca="false">bxpharma!H112</f>
        <v>71.7</v>
      </c>
      <c r="D111" s="22" t="n">
        <f aca="false">batbc!H112</f>
        <v>356</v>
      </c>
      <c r="E111" s="6" t="n">
        <f aca="false">LN(A110/A111)</f>
        <v>-0.033616610798985</v>
      </c>
      <c r="F111" s="6" t="n">
        <f aca="false">LN(B110/B111)</f>
        <v>-0.0212989795896836</v>
      </c>
      <c r="G111" s="6" t="n">
        <f aca="false">LN(C110/C111)</f>
        <v>-0.0326038800928158</v>
      </c>
      <c r="H111" s="6" t="n">
        <f aca="false">LN(D110/D111)</f>
        <v>-0.0395353693939374</v>
      </c>
      <c r="I111" s="6" t="n">
        <f aca="false">E111-$I$2</f>
        <v>-0.0340297463922053</v>
      </c>
      <c r="J111" s="6" t="n">
        <f aca="false">F111-$J$2</f>
        <v>-0.021712115182904</v>
      </c>
      <c r="K111" s="6" t="n">
        <f aca="false">G111-$K$2</f>
        <v>-0.0330170156860361</v>
      </c>
      <c r="L111" s="6" t="n">
        <f aca="false">H111-$L$2</f>
        <v>-0.0399485049871577</v>
      </c>
      <c r="S111" s="9" t="n">
        <v>0.3</v>
      </c>
      <c r="T111" s="9" t="n">
        <v>0.03</v>
      </c>
      <c r="U111" s="9" t="n">
        <v>0.5</v>
      </c>
      <c r="V111" s="9" t="n">
        <v>0.8</v>
      </c>
      <c r="W111" s="22" t="n">
        <f aca="false">SUM(S111:V111)</f>
        <v>1.63</v>
      </c>
      <c r="X111" s="23" t="n">
        <f aca="false">S111/$W111</f>
        <v>0.184049079754601</v>
      </c>
      <c r="Y111" s="23" t="n">
        <f aca="false">T111/$W111</f>
        <v>0.0184049079754601</v>
      </c>
      <c r="Z111" s="23" t="n">
        <f aca="false">U111/$W111</f>
        <v>0.306748466257669</v>
      </c>
      <c r="AA111" s="23" t="n">
        <f aca="false">V111/$W111</f>
        <v>0.49079754601227</v>
      </c>
      <c r="AB111" s="23" t="n">
        <f aca="false">SUM(X111:AA111)</f>
        <v>1</v>
      </c>
      <c r="AC111" s="6" t="n">
        <f aca="false" t="array" ref="AC111:AC111">MMULT(MMULT(X111:AA111,$N$2:$Q$5),TRANSPOSE(X111:AA111))</f>
        <v>0.00025203752025835</v>
      </c>
      <c r="AD111" s="6" t="n">
        <f aca="false">SUMPRODUCT(X111:AA111,$E$237:$H$237)</f>
        <v>-0.000418688899034963</v>
      </c>
      <c r="AE111" s="24" t="n">
        <f aca="false">(AD111-$I$2)/SQRT(AC111)</f>
        <v>-0.0523961171603961</v>
      </c>
      <c r="AF111" s="6" t="n">
        <f aca="false">AD111</f>
        <v>-0.000418688899034963</v>
      </c>
      <c r="AG111" s="6" t="n">
        <f aca="false">AC111</f>
        <v>0.00025203752025835</v>
      </c>
      <c r="AH111" s="23" t="n">
        <f aca="false">X111</f>
        <v>0.184049079754601</v>
      </c>
      <c r="AI111" s="23" t="n">
        <f aca="false">Y111</f>
        <v>0.0184049079754601</v>
      </c>
      <c r="AJ111" s="23" t="n">
        <f aca="false">Z111</f>
        <v>0.306748466257669</v>
      </c>
      <c r="AK111" s="23" t="n">
        <f aca="false">AA111</f>
        <v>0.49079754601227</v>
      </c>
    </row>
    <row r="112" customFormat="false" ht="15" hidden="false" customHeight="true" outlineLevel="0" collapsed="false">
      <c r="A112" s="22" t="n">
        <f aca="false">aci!H113</f>
        <v>121.3</v>
      </c>
      <c r="B112" s="22" t="n">
        <f aca="false">apexfoot!H113</f>
        <v>203.2</v>
      </c>
      <c r="C112" s="22" t="n">
        <f aca="false">bxpharma!H113</f>
        <v>69.9</v>
      </c>
      <c r="D112" s="22" t="n">
        <f aca="false">batbc!H113</f>
        <v>361.8</v>
      </c>
      <c r="E112" s="6" t="n">
        <f aca="false">LN(A111/A112)</f>
        <v>-0.00247627035326329</v>
      </c>
      <c r="F112" s="6" t="n">
        <f aca="false">LN(B111/B112)</f>
        <v>-0.0193794884855776</v>
      </c>
      <c r="G112" s="6" t="n">
        <f aca="false">LN(C111/C112)</f>
        <v>0.02542509836581</v>
      </c>
      <c r="H112" s="6" t="n">
        <f aca="false">LN(D111/D112)</f>
        <v>-0.0161608421091643</v>
      </c>
      <c r="I112" s="6" t="n">
        <f aca="false">E112-$I$2</f>
        <v>-0.00288940594648363</v>
      </c>
      <c r="J112" s="6" t="n">
        <f aca="false">F112-$J$2</f>
        <v>-0.019792624078798</v>
      </c>
      <c r="K112" s="6" t="n">
        <f aca="false">G112-$K$2</f>
        <v>0.0250119627725896</v>
      </c>
      <c r="L112" s="6" t="n">
        <f aca="false">H112-$L$2</f>
        <v>-0.0165739777023847</v>
      </c>
      <c r="S112" s="9" t="n">
        <v>0.88</v>
      </c>
      <c r="T112" s="9" t="n">
        <v>0.09</v>
      </c>
      <c r="U112" s="9" t="n">
        <v>0.46</v>
      </c>
      <c r="V112" s="9" t="n">
        <v>0.97</v>
      </c>
      <c r="W112" s="22" t="n">
        <f aca="false">SUM(S112:V112)</f>
        <v>2.4</v>
      </c>
      <c r="X112" s="23" t="n">
        <f aca="false">S112/$W112</f>
        <v>0.366666666666667</v>
      </c>
      <c r="Y112" s="23" t="n">
        <f aca="false">T112/$W112</f>
        <v>0.0375</v>
      </c>
      <c r="Z112" s="23" t="n">
        <f aca="false">U112/$W112</f>
        <v>0.191666666666667</v>
      </c>
      <c r="AA112" s="23" t="n">
        <f aca="false">V112/$W112</f>
        <v>0.404166666666667</v>
      </c>
      <c r="AB112" s="23" t="n">
        <f aca="false">SUM(X112:AA112)</f>
        <v>1</v>
      </c>
      <c r="AC112" s="6" t="n">
        <f aca="false" t="array" ref="AC112:AC112">MMULT(MMULT(X112:AA112,$N$2:$Q$5),TRANSPOSE(X112:AA112))</f>
        <v>0.000298465216819722</v>
      </c>
      <c r="AD112" s="6" t="n">
        <f aca="false">SUMPRODUCT(X112:AA112,$E$237:$H$237)</f>
        <v>-9.82773585879484E-005</v>
      </c>
      <c r="AE112" s="24" t="n">
        <f aca="false">(AD112-$I$2)/SQRT(AC112)</f>
        <v>-0.0296022593846106</v>
      </c>
      <c r="AF112" s="6" t="n">
        <f aca="false">AD112</f>
        <v>-9.82773585879484E-005</v>
      </c>
      <c r="AG112" s="6" t="n">
        <f aca="false">AC112</f>
        <v>0.000298465216819722</v>
      </c>
      <c r="AH112" s="23" t="n">
        <f aca="false">X112</f>
        <v>0.366666666666667</v>
      </c>
      <c r="AI112" s="23" t="n">
        <f aca="false">Y112</f>
        <v>0.0375</v>
      </c>
      <c r="AJ112" s="23" t="n">
        <f aca="false">Z112</f>
        <v>0.191666666666667</v>
      </c>
      <c r="AK112" s="23" t="n">
        <f aca="false">AA112</f>
        <v>0.404166666666667</v>
      </c>
    </row>
    <row r="113" customFormat="false" ht="15" hidden="false" customHeight="true" outlineLevel="0" collapsed="false">
      <c r="A113" s="22" t="n">
        <f aca="false">aci!H114</f>
        <v>120.5</v>
      </c>
      <c r="B113" s="22" t="n">
        <f aca="false">apexfoot!H114</f>
        <v>234.6</v>
      </c>
      <c r="C113" s="22" t="n">
        <f aca="false">bxpharma!H114</f>
        <v>71.4</v>
      </c>
      <c r="D113" s="22" t="n">
        <f aca="false">batbc!H114</f>
        <v>369.1</v>
      </c>
      <c r="E113" s="6" t="n">
        <f aca="false">LN(A112/A113)</f>
        <v>0.00661706301929474</v>
      </c>
      <c r="F113" s="6" t="n">
        <f aca="false">LN(B112/B113)</f>
        <v>-0.143691220515048</v>
      </c>
      <c r="G113" s="6" t="n">
        <f aca="false">LN(C112/C113)</f>
        <v>-0.0212322201057742</v>
      </c>
      <c r="H113" s="6" t="n">
        <f aca="false">LN(D112/D113)</f>
        <v>-0.0199760370747581</v>
      </c>
      <c r="I113" s="6" t="n">
        <f aca="false">E113-$I$2</f>
        <v>0.0062039274260744</v>
      </c>
      <c r="J113" s="6" t="n">
        <f aca="false">F113-$J$2</f>
        <v>-0.144104356108269</v>
      </c>
      <c r="K113" s="6" t="n">
        <f aca="false">G113-$K$2</f>
        <v>-0.0216453556989945</v>
      </c>
      <c r="L113" s="6" t="n">
        <f aca="false">H113-$L$2</f>
        <v>-0.0203891726679785</v>
      </c>
      <c r="S113" s="9" t="n">
        <v>0.85</v>
      </c>
      <c r="T113" s="9" t="n">
        <v>0.22</v>
      </c>
      <c r="U113" s="9" t="n">
        <v>0.33</v>
      </c>
      <c r="V113" s="9" t="n">
        <v>0.1</v>
      </c>
      <c r="W113" s="22" t="n">
        <f aca="false">SUM(S113:V113)</f>
        <v>1.5</v>
      </c>
      <c r="X113" s="23" t="n">
        <f aca="false">S113/$W113</f>
        <v>0.566666666666667</v>
      </c>
      <c r="Y113" s="23" t="n">
        <f aca="false">T113/$W113</f>
        <v>0.146666666666667</v>
      </c>
      <c r="Z113" s="23" t="n">
        <f aca="false">U113/$W113</f>
        <v>0.22</v>
      </c>
      <c r="AA113" s="23" t="n">
        <f aca="false">V113/$W113</f>
        <v>0.0666666666666667</v>
      </c>
      <c r="AB113" s="23" t="n">
        <f aca="false">SUM(X113:AA113)</f>
        <v>1</v>
      </c>
      <c r="AC113" s="6" t="n">
        <f aca="false" t="array" ref="AC113:AC113">MMULT(MMULT(X113:AA113,$N$2:$Q$5),TRANSPOSE(X113:AA113))</f>
        <v>0.000369873728713493</v>
      </c>
      <c r="AD113" s="6" t="n">
        <f aca="false">SUMPRODUCT(X113:AA113,$E$237:$H$237)</f>
        <v>0.000373554896758753</v>
      </c>
      <c r="AE113" s="24" t="n">
        <f aca="false">(AD113-$I$2)/SQRT(AC113)</f>
        <v>-0.00205805363647324</v>
      </c>
      <c r="AF113" s="6" t="n">
        <f aca="false">AD113</f>
        <v>0.000373554896758753</v>
      </c>
      <c r="AG113" s="6" t="n">
        <f aca="false">AC113</f>
        <v>0.000369873728713493</v>
      </c>
      <c r="AH113" s="23" t="n">
        <f aca="false">X113</f>
        <v>0.566666666666667</v>
      </c>
      <c r="AI113" s="23" t="n">
        <f aca="false">Y113</f>
        <v>0.146666666666667</v>
      </c>
      <c r="AJ113" s="23" t="n">
        <f aca="false">Z113</f>
        <v>0.22</v>
      </c>
      <c r="AK113" s="23" t="n">
        <f aca="false">AA113</f>
        <v>0.0666666666666667</v>
      </c>
    </row>
    <row r="114" customFormat="false" ht="15" hidden="false" customHeight="true" outlineLevel="0" collapsed="false">
      <c r="A114" s="22" t="n">
        <f aca="false">aci!H115</f>
        <v>119</v>
      </c>
      <c r="B114" s="22" t="n">
        <f aca="false">apexfoot!H115</f>
        <v>234.6</v>
      </c>
      <c r="C114" s="22" t="n">
        <f aca="false">bxpharma!H115</f>
        <v>71.1</v>
      </c>
      <c r="D114" s="22" t="n">
        <f aca="false">batbc!H115</f>
        <v>367.7</v>
      </c>
      <c r="E114" s="6" t="n">
        <f aca="false">LN(A113/A114)</f>
        <v>0.0125262598191803</v>
      </c>
      <c r="F114" s="6" t="n">
        <f aca="false">LN(B113/B114)</f>
        <v>0</v>
      </c>
      <c r="G114" s="6" t="n">
        <f aca="false">LN(C113/C114)</f>
        <v>0.00421053253634368</v>
      </c>
      <c r="H114" s="6" t="n">
        <f aca="false">LN(D113/D114)</f>
        <v>0.00380022172872676</v>
      </c>
      <c r="I114" s="6" t="n">
        <f aca="false">E114-$I$2</f>
        <v>0.0121131242259599</v>
      </c>
      <c r="J114" s="6" t="n">
        <f aca="false">F114-$J$2</f>
        <v>-0.000413135593220339</v>
      </c>
      <c r="K114" s="6" t="n">
        <f aca="false">G114-$K$2</f>
        <v>0.00379739694312334</v>
      </c>
      <c r="L114" s="6" t="n">
        <f aca="false">H114-$L$2</f>
        <v>0.00338708613550642</v>
      </c>
      <c r="S114" s="9" t="n">
        <v>0.94</v>
      </c>
      <c r="T114" s="9" t="n">
        <v>0.74</v>
      </c>
      <c r="U114" s="9" t="n">
        <v>0.01</v>
      </c>
      <c r="V114" s="9" t="n">
        <v>0.79</v>
      </c>
      <c r="W114" s="22" t="n">
        <f aca="false">SUM(S114:V114)</f>
        <v>2.48</v>
      </c>
      <c r="X114" s="23" t="n">
        <f aca="false">S114/$W114</f>
        <v>0.379032258064516</v>
      </c>
      <c r="Y114" s="23" t="n">
        <f aca="false">T114/$W114</f>
        <v>0.298387096774194</v>
      </c>
      <c r="Z114" s="23" t="n">
        <f aca="false">U114/$W114</f>
        <v>0.00403225806451613</v>
      </c>
      <c r="AA114" s="23" t="n">
        <f aca="false">V114/$W114</f>
        <v>0.318548387096774</v>
      </c>
      <c r="AB114" s="23" t="n">
        <f aca="false">SUM(X114:AA114)</f>
        <v>1</v>
      </c>
      <c r="AC114" s="6" t="n">
        <f aca="false" t="array" ref="AC114:AC114">MMULT(MMULT(X114:AA114,$N$2:$Q$5),TRANSPOSE(X114:AA114))</f>
        <v>0.000290844806421211</v>
      </c>
      <c r="AD114" s="6" t="n">
        <f aca="false">SUMPRODUCT(X114:AA114,$E$237:$H$237)</f>
        <v>-9.23730623560111E-005</v>
      </c>
      <c r="AE114" s="24" t="n">
        <f aca="false">(AD114-$I$2)/SQRT(AC114)</f>
        <v>-0.0296413472832182</v>
      </c>
      <c r="AF114" s="6" t="n">
        <f aca="false">AD114</f>
        <v>-9.23730623560111E-005</v>
      </c>
      <c r="AG114" s="6" t="n">
        <f aca="false">AC114</f>
        <v>0.000290844806421211</v>
      </c>
      <c r="AH114" s="23" t="n">
        <f aca="false">X114</f>
        <v>0.379032258064516</v>
      </c>
      <c r="AI114" s="23" t="n">
        <f aca="false">Y114</f>
        <v>0.298387096774194</v>
      </c>
      <c r="AJ114" s="23" t="n">
        <f aca="false">Z114</f>
        <v>0.00403225806451613</v>
      </c>
      <c r="AK114" s="23" t="n">
        <f aca="false">AA114</f>
        <v>0.318548387096774</v>
      </c>
    </row>
    <row r="115" customFormat="false" ht="15" hidden="false" customHeight="true" outlineLevel="0" collapsed="false">
      <c r="A115" s="22" t="n">
        <f aca="false">aci!H116</f>
        <v>121.4</v>
      </c>
      <c r="B115" s="22" t="n">
        <f aca="false">apexfoot!H116</f>
        <v>235.9</v>
      </c>
      <c r="C115" s="22" t="n">
        <f aca="false">bxpharma!H116</f>
        <v>71.9</v>
      </c>
      <c r="D115" s="22" t="n">
        <f aca="false">batbc!H116</f>
        <v>365.6</v>
      </c>
      <c r="E115" s="6" t="n">
        <f aca="false">LN(A114/A115)</f>
        <v>-0.0199673855138685</v>
      </c>
      <c r="F115" s="6" t="n">
        <f aca="false">LN(B114/B115)</f>
        <v>-0.00552605019425434</v>
      </c>
      <c r="G115" s="6" t="n">
        <f aca="false">LN(C114/C115)</f>
        <v>-0.011188927917806</v>
      </c>
      <c r="H115" s="6" t="n">
        <f aca="false">LN(D114/D115)</f>
        <v>0.00572754872723118</v>
      </c>
      <c r="I115" s="6" t="n">
        <f aca="false">E115-$I$2</f>
        <v>-0.0203805211070888</v>
      </c>
      <c r="J115" s="6" t="n">
        <f aca="false">F115-$J$2</f>
        <v>-0.00593918578747468</v>
      </c>
      <c r="K115" s="6" t="n">
        <f aca="false">G115-$K$2</f>
        <v>-0.0116020635110263</v>
      </c>
      <c r="L115" s="6" t="n">
        <f aca="false">H115-$L$2</f>
        <v>0.00531441313401084</v>
      </c>
      <c r="S115" s="9" t="n">
        <v>0.75</v>
      </c>
      <c r="T115" s="9" t="n">
        <v>0.23</v>
      </c>
      <c r="U115" s="9" t="n">
        <v>0.6</v>
      </c>
      <c r="V115" s="9" t="n">
        <v>0.07</v>
      </c>
      <c r="W115" s="22" t="n">
        <f aca="false">SUM(S115:V115)</f>
        <v>1.65</v>
      </c>
      <c r="X115" s="23" t="n">
        <f aca="false">S115/$W115</f>
        <v>0.454545454545455</v>
      </c>
      <c r="Y115" s="23" t="n">
        <f aca="false">T115/$W115</f>
        <v>0.139393939393939</v>
      </c>
      <c r="Z115" s="23" t="n">
        <f aca="false">U115/$W115</f>
        <v>0.363636363636364</v>
      </c>
      <c r="AA115" s="23" t="n">
        <f aca="false">V115/$W115</f>
        <v>0.0424242424242424</v>
      </c>
      <c r="AB115" s="23" t="n">
        <f aca="false">SUM(X115:AA115)</f>
        <v>1</v>
      </c>
      <c r="AC115" s="6" t="n">
        <f aca="false" t="array" ref="AC115:AC115">MMULT(MMULT(X115:AA115,$N$2:$Q$5),TRANSPOSE(X115:AA115))</f>
        <v>0.000331997921891546</v>
      </c>
      <c r="AD115" s="6" t="n">
        <f aca="false">SUMPRODUCT(X115:AA115,$E$237:$H$237)</f>
        <v>0.000221135984389792</v>
      </c>
      <c r="AE115" s="24" t="n">
        <f aca="false">(AD115-$I$2)/SQRT(AC115)</f>
        <v>-0.0105373804694928</v>
      </c>
      <c r="AF115" s="6" t="n">
        <f aca="false">AD115</f>
        <v>0.000221135984389792</v>
      </c>
      <c r="AG115" s="6" t="n">
        <f aca="false">AC115</f>
        <v>0.000331997921891546</v>
      </c>
      <c r="AH115" s="23" t="n">
        <f aca="false">X115</f>
        <v>0.454545454545455</v>
      </c>
      <c r="AI115" s="23" t="n">
        <f aca="false">Y115</f>
        <v>0.139393939393939</v>
      </c>
      <c r="AJ115" s="23" t="n">
        <f aca="false">Z115</f>
        <v>0.363636363636364</v>
      </c>
      <c r="AK115" s="23" t="n">
        <f aca="false">AA115</f>
        <v>0.0424242424242424</v>
      </c>
    </row>
    <row r="116" customFormat="false" ht="15" hidden="false" customHeight="true" outlineLevel="0" collapsed="false">
      <c r="A116" s="22" t="n">
        <f aca="false">aci!H117</f>
        <v>130.8</v>
      </c>
      <c r="B116" s="22" t="n">
        <f aca="false">apexfoot!H117</f>
        <v>235.9</v>
      </c>
      <c r="C116" s="22" t="n">
        <f aca="false">bxpharma!H117</f>
        <v>72.9</v>
      </c>
      <c r="D116" s="22" t="n">
        <f aca="false">batbc!H117</f>
        <v>368.4</v>
      </c>
      <c r="E116" s="6" t="n">
        <f aca="false">LN(A115/A116)</f>
        <v>-0.0745785603977005</v>
      </c>
      <c r="F116" s="6" t="n">
        <f aca="false">LN(B115/B116)</f>
        <v>0</v>
      </c>
      <c r="G116" s="6" t="n">
        <f aca="false">LN(C115/C116)</f>
        <v>-0.0138123742876115</v>
      </c>
      <c r="H116" s="6" t="n">
        <f aca="false">LN(D115/D116)</f>
        <v>-0.00762946480115673</v>
      </c>
      <c r="I116" s="6" t="n">
        <f aca="false">E116-$I$2</f>
        <v>-0.0749916959909208</v>
      </c>
      <c r="J116" s="6" t="n">
        <f aca="false">F116-$J$2</f>
        <v>-0.000413135593220339</v>
      </c>
      <c r="K116" s="6" t="n">
        <f aca="false">G116-$K$2</f>
        <v>-0.0142255098808318</v>
      </c>
      <c r="L116" s="6" t="n">
        <f aca="false">H116-$L$2</f>
        <v>-0.00804260039437707</v>
      </c>
      <c r="S116" s="9" t="n">
        <v>0.67</v>
      </c>
      <c r="T116" s="9" t="n">
        <v>0.84</v>
      </c>
      <c r="U116" s="9" t="n">
        <v>0.77</v>
      </c>
      <c r="V116" s="9" t="n">
        <v>0.97</v>
      </c>
      <c r="W116" s="22" t="n">
        <f aca="false">SUM(S116:V116)</f>
        <v>3.25</v>
      </c>
      <c r="X116" s="23" t="n">
        <f aca="false">S116/$W116</f>
        <v>0.206153846153846</v>
      </c>
      <c r="Y116" s="23" t="n">
        <f aca="false">T116/$W116</f>
        <v>0.258461538461538</v>
      </c>
      <c r="Z116" s="23" t="n">
        <f aca="false">U116/$W116</f>
        <v>0.236923076923077</v>
      </c>
      <c r="AA116" s="23" t="n">
        <f aca="false">V116/$W116</f>
        <v>0.298461538461538</v>
      </c>
      <c r="AB116" s="23" t="n">
        <f aca="false">SUM(X116:AA116)</f>
        <v>1</v>
      </c>
      <c r="AC116" s="6" t="n">
        <f aca="false" t="array" ref="AC116:AC116">MMULT(MMULT(X116:AA116,$N$2:$Q$5),TRANSPOSE(X116:AA116))</f>
        <v>0.000219578635140829</v>
      </c>
      <c r="AD116" s="6" t="n">
        <f aca="false">SUMPRODUCT(X116:AA116,$E$237:$H$237)</f>
        <v>-0.000330603787892995</v>
      </c>
      <c r="AE116" s="24" t="n">
        <f aca="false">(AD116-$I$2)/SQRT(AC116)</f>
        <v>-0.0501909871510775</v>
      </c>
      <c r="AF116" s="6" t="n">
        <f aca="false">AD116</f>
        <v>-0.000330603787892995</v>
      </c>
      <c r="AG116" s="6" t="n">
        <f aca="false">AC116</f>
        <v>0.000219578635140829</v>
      </c>
      <c r="AH116" s="23" t="n">
        <f aca="false">X116</f>
        <v>0.206153846153846</v>
      </c>
      <c r="AI116" s="23" t="n">
        <f aca="false">Y116</f>
        <v>0.258461538461538</v>
      </c>
      <c r="AJ116" s="23" t="n">
        <f aca="false">Z116</f>
        <v>0.236923076923077</v>
      </c>
      <c r="AK116" s="23" t="n">
        <f aca="false">AA116</f>
        <v>0.298461538461538</v>
      </c>
    </row>
    <row r="117" customFormat="false" ht="15" hidden="false" customHeight="true" outlineLevel="0" collapsed="false">
      <c r="A117" s="22" t="n">
        <f aca="false">aci!H118</f>
        <v>132.2</v>
      </c>
      <c r="B117" s="22" t="n">
        <f aca="false">apexfoot!H118</f>
        <v>236.9</v>
      </c>
      <c r="C117" s="22" t="n">
        <f aca="false">bxpharma!H118</f>
        <v>70.7</v>
      </c>
      <c r="D117" s="22" t="n">
        <f aca="false">batbc!H118</f>
        <v>372.7</v>
      </c>
      <c r="E117" s="6" t="n">
        <f aca="false">LN(A116/A117)</f>
        <v>-0.0106464883944875</v>
      </c>
      <c r="F117" s="6" t="n">
        <f aca="false">LN(B116/B117)</f>
        <v>-0.0042301247511104</v>
      </c>
      <c r="G117" s="6" t="n">
        <f aca="false">LN(C116/C117)</f>
        <v>0.0306430661120854</v>
      </c>
      <c r="H117" s="6" t="n">
        <f aca="false">LN(D116/D117)</f>
        <v>-0.011604502104061</v>
      </c>
      <c r="I117" s="6" t="n">
        <f aca="false">E117-$I$2</f>
        <v>-0.0110596239877078</v>
      </c>
      <c r="J117" s="6" t="n">
        <f aca="false">F117-$J$2</f>
        <v>-0.00464326034433074</v>
      </c>
      <c r="K117" s="6" t="n">
        <f aca="false">G117-$K$2</f>
        <v>0.030229930518865</v>
      </c>
      <c r="L117" s="6" t="n">
        <f aca="false">H117-$L$2</f>
        <v>-0.0120176376972813</v>
      </c>
      <c r="S117" s="9" t="n">
        <v>0.47</v>
      </c>
      <c r="T117" s="9" t="n">
        <v>0.04</v>
      </c>
      <c r="U117" s="9" t="n">
        <v>0.19</v>
      </c>
      <c r="V117" s="9" t="n">
        <v>0.3</v>
      </c>
      <c r="W117" s="22" t="n">
        <f aca="false">SUM(S117:V117)</f>
        <v>1</v>
      </c>
      <c r="X117" s="23" t="n">
        <f aca="false">S117/$W117</f>
        <v>0.47</v>
      </c>
      <c r="Y117" s="23" t="n">
        <f aca="false">T117/$W117</f>
        <v>0.04</v>
      </c>
      <c r="Z117" s="23" t="n">
        <f aca="false">U117/$W117</f>
        <v>0.19</v>
      </c>
      <c r="AA117" s="23" t="n">
        <f aca="false">V117/$W117</f>
        <v>0.3</v>
      </c>
      <c r="AB117" s="23" t="n">
        <f aca="false">SUM(X117:AA117)</f>
        <v>1</v>
      </c>
      <c r="AC117" s="6" t="n">
        <f aca="false" t="array" ref="AC117:AC117">MMULT(MMULT(X117:AA117,$N$2:$Q$5),TRANSPOSE(X117:AA117))</f>
        <v>0.000338214522248422</v>
      </c>
      <c r="AD117" s="6" t="n">
        <f aca="false">SUMPRODUCT(X117:AA117,$E$237:$H$237)</f>
        <v>0.000117343146735566</v>
      </c>
      <c r="AE117" s="24" t="n">
        <f aca="false">(AD117-$I$2)/SQRT(AC117)</f>
        <v>-0.0160838847962842</v>
      </c>
      <c r="AF117" s="6" t="n">
        <f aca="false">AD117</f>
        <v>0.000117343146735566</v>
      </c>
      <c r="AG117" s="6" t="n">
        <f aca="false">AC117</f>
        <v>0.000338214522248422</v>
      </c>
      <c r="AH117" s="23" t="n">
        <f aca="false">X117</f>
        <v>0.47</v>
      </c>
      <c r="AI117" s="23" t="n">
        <f aca="false">Y117</f>
        <v>0.04</v>
      </c>
      <c r="AJ117" s="23" t="n">
        <f aca="false">Z117</f>
        <v>0.19</v>
      </c>
      <c r="AK117" s="23" t="n">
        <f aca="false">AA117</f>
        <v>0.3</v>
      </c>
    </row>
    <row r="118" customFormat="false" ht="15" hidden="false" customHeight="true" outlineLevel="0" collapsed="false">
      <c r="A118" s="22" t="n">
        <f aca="false">aci!H119</f>
        <v>141</v>
      </c>
      <c r="B118" s="22" t="n">
        <f aca="false">apexfoot!H119</f>
        <v>236.4</v>
      </c>
      <c r="C118" s="22" t="n">
        <f aca="false">bxpharma!H119</f>
        <v>72.4</v>
      </c>
      <c r="D118" s="22" t="n">
        <f aca="false">batbc!H119</f>
        <v>371.7</v>
      </c>
      <c r="E118" s="6" t="n">
        <f aca="false">LN(A117/A118)</f>
        <v>-0.0644439629605825</v>
      </c>
      <c r="F118" s="6" t="n">
        <f aca="false">LN(B117/B118)</f>
        <v>0.00211282563279655</v>
      </c>
      <c r="G118" s="6" t="n">
        <f aca="false">LN(C117/C118)</f>
        <v>-0.0237607264891436</v>
      </c>
      <c r="H118" s="6" t="n">
        <f aca="false">LN(D117/D118)</f>
        <v>0.0026867291820063</v>
      </c>
      <c r="I118" s="6" t="n">
        <f aca="false">E118-$I$2</f>
        <v>-0.0648570985538028</v>
      </c>
      <c r="J118" s="6" t="n">
        <f aca="false">F118-$J$2</f>
        <v>0.00169969003957621</v>
      </c>
      <c r="K118" s="6" t="n">
        <f aca="false">G118-$K$2</f>
        <v>-0.024173862082364</v>
      </c>
      <c r="L118" s="6" t="n">
        <f aca="false">H118-$L$2</f>
        <v>0.00227359358878596</v>
      </c>
      <c r="S118" s="9" t="n">
        <v>0.93</v>
      </c>
      <c r="T118" s="9" t="n">
        <v>0.61</v>
      </c>
      <c r="U118" s="9" t="n">
        <v>0.03</v>
      </c>
      <c r="V118" s="9" t="n">
        <v>0.57</v>
      </c>
      <c r="W118" s="22" t="n">
        <f aca="false">SUM(S118:V118)</f>
        <v>2.14</v>
      </c>
      <c r="X118" s="23" t="n">
        <f aca="false">S118/$W118</f>
        <v>0.434579439252336</v>
      </c>
      <c r="Y118" s="23" t="n">
        <f aca="false">T118/$W118</f>
        <v>0.285046728971963</v>
      </c>
      <c r="Z118" s="23" t="n">
        <f aca="false">U118/$W118</f>
        <v>0.014018691588785</v>
      </c>
      <c r="AA118" s="23" t="n">
        <f aca="false">V118/$W118</f>
        <v>0.266355140186916</v>
      </c>
      <c r="AB118" s="23" t="n">
        <f aca="false">SUM(X118:AA118)</f>
        <v>1</v>
      </c>
      <c r="AC118" s="6" t="n">
        <f aca="false" t="array" ref="AC118:AC118">MMULT(MMULT(X118:AA118,$N$2:$Q$5),TRANSPOSE(X118:AA118))</f>
        <v>0.000308934737547766</v>
      </c>
      <c r="AD118" s="6" t="n">
        <f aca="false">SUMPRODUCT(X118:AA118,$E$237:$H$237)</f>
        <v>2.48434524349535E-005</v>
      </c>
      <c r="AE118" s="24" t="n">
        <f aca="false">(AD118-$I$2)/SQRT(AC118)</f>
        <v>-0.0220915011641573</v>
      </c>
      <c r="AF118" s="6" t="n">
        <f aca="false">AD118</f>
        <v>2.48434524349535E-005</v>
      </c>
      <c r="AG118" s="6" t="n">
        <f aca="false">AC118</f>
        <v>0.000308934737547766</v>
      </c>
      <c r="AH118" s="23" t="n">
        <f aca="false">X118</f>
        <v>0.434579439252336</v>
      </c>
      <c r="AI118" s="23" t="n">
        <f aca="false">Y118</f>
        <v>0.285046728971963</v>
      </c>
      <c r="AJ118" s="23" t="n">
        <f aca="false">Z118</f>
        <v>0.014018691588785</v>
      </c>
      <c r="AK118" s="23" t="n">
        <f aca="false">AA118</f>
        <v>0.266355140186916</v>
      </c>
    </row>
    <row r="119" customFormat="false" ht="15" hidden="false" customHeight="true" outlineLevel="0" collapsed="false">
      <c r="A119" s="22" t="n">
        <f aca="false">aci!H120</f>
        <v>137.4</v>
      </c>
      <c r="B119" s="22" t="n">
        <f aca="false">apexfoot!H120</f>
        <v>238.2</v>
      </c>
      <c r="C119" s="22" t="n">
        <f aca="false">bxpharma!H120</f>
        <v>70.9</v>
      </c>
      <c r="D119" s="22" t="n">
        <f aca="false">batbc!H120</f>
        <v>378.3</v>
      </c>
      <c r="E119" s="6" t="n">
        <f aca="false">LN(A118/A119)</f>
        <v>0.0258635105899194</v>
      </c>
      <c r="F119" s="6" t="n">
        <f aca="false">LN(B118/B119)</f>
        <v>-0.0075853713892565</v>
      </c>
      <c r="G119" s="6" t="n">
        <f aca="false">LN(C118/C119)</f>
        <v>0.0209358658535888</v>
      </c>
      <c r="H119" s="6" t="n">
        <f aca="false">LN(D118/D119)</f>
        <v>-0.0176004543357772</v>
      </c>
      <c r="I119" s="6" t="n">
        <f aca="false">E119-$I$2</f>
        <v>0.025450374996699</v>
      </c>
      <c r="J119" s="6" t="n">
        <f aca="false">F119-$J$2</f>
        <v>-0.00799850698247684</v>
      </c>
      <c r="K119" s="6" t="n">
        <f aca="false">G119-$K$2</f>
        <v>0.0205227302603685</v>
      </c>
      <c r="L119" s="6" t="n">
        <f aca="false">H119-$L$2</f>
        <v>-0.0180135899289975</v>
      </c>
      <c r="S119" s="9" t="n">
        <v>0.63</v>
      </c>
      <c r="T119" s="9" t="n">
        <v>0.77</v>
      </c>
      <c r="U119" s="9" t="n">
        <v>0.01</v>
      </c>
      <c r="V119" s="9" t="n">
        <v>0.05</v>
      </c>
      <c r="W119" s="22" t="n">
        <f aca="false">SUM(S119:V119)</f>
        <v>1.46</v>
      </c>
      <c r="X119" s="23" t="n">
        <f aca="false">S119/$W119</f>
        <v>0.431506849315069</v>
      </c>
      <c r="Y119" s="23" t="n">
        <f aca="false">T119/$W119</f>
        <v>0.527397260273973</v>
      </c>
      <c r="Z119" s="23" t="n">
        <f aca="false">U119/$W119</f>
        <v>0.00684931506849315</v>
      </c>
      <c r="AA119" s="23" t="n">
        <f aca="false">V119/$W119</f>
        <v>0.0342465753424658</v>
      </c>
      <c r="AB119" s="23" t="n">
        <f aca="false">SUM(X119:AA119)</f>
        <v>1</v>
      </c>
      <c r="AC119" s="6" t="n">
        <f aca="false" t="array" ref="AC119:AC119">MMULT(MMULT(X119:AA119,$N$2:$Q$5),TRANSPOSE(X119:AA119))</f>
        <v>0.000302818932946745</v>
      </c>
      <c r="AD119" s="6" t="n">
        <f aca="false">SUMPRODUCT(X119:AA119,$E$237:$H$237)</f>
        <v>9.78733295094569E-005</v>
      </c>
      <c r="AE119" s="24" t="n">
        <f aca="false">(AD119-$I$2)/SQRT(AC119)</f>
        <v>-0.0181167577539471</v>
      </c>
      <c r="AF119" s="6" t="n">
        <f aca="false">AD119</f>
        <v>9.78733295094569E-005</v>
      </c>
      <c r="AG119" s="6" t="n">
        <f aca="false">AC119</f>
        <v>0.000302818932946745</v>
      </c>
      <c r="AH119" s="23" t="n">
        <f aca="false">X119</f>
        <v>0.431506849315069</v>
      </c>
      <c r="AI119" s="23" t="n">
        <f aca="false">Y119</f>
        <v>0.527397260273973</v>
      </c>
      <c r="AJ119" s="23" t="n">
        <f aca="false">Z119</f>
        <v>0.00684931506849315</v>
      </c>
      <c r="AK119" s="23" t="n">
        <f aca="false">AA119</f>
        <v>0.0342465753424658</v>
      </c>
    </row>
    <row r="120" customFormat="false" ht="15" hidden="false" customHeight="true" outlineLevel="0" collapsed="false">
      <c r="A120" s="22" t="n">
        <f aca="false">aci!H121</f>
        <v>137.3</v>
      </c>
      <c r="B120" s="22" t="n">
        <f aca="false">apexfoot!H121</f>
        <v>239.7</v>
      </c>
      <c r="C120" s="22" t="n">
        <f aca="false">bxpharma!H121</f>
        <v>73.3</v>
      </c>
      <c r="D120" s="22" t="n">
        <f aca="false">batbc!H121</f>
        <v>382.3</v>
      </c>
      <c r="E120" s="6" t="n">
        <f aca="false">LN(A119/A120)</f>
        <v>0.000728067014323583</v>
      </c>
      <c r="F120" s="6" t="n">
        <f aca="false">LN(B119/B120)</f>
        <v>-0.00627748451913896</v>
      </c>
      <c r="G120" s="6" t="n">
        <f aca="false">LN(C119/C120)</f>
        <v>-0.0332901753545239</v>
      </c>
      <c r="H120" s="6" t="n">
        <f aca="false">LN(D119/D120)</f>
        <v>-0.0105181090633835</v>
      </c>
      <c r="I120" s="6" t="n">
        <f aca="false">E120-$I$2</f>
        <v>0.000314931421103244</v>
      </c>
      <c r="J120" s="6" t="n">
        <f aca="false">F120-$J$2</f>
        <v>-0.0066906201123593</v>
      </c>
      <c r="K120" s="6" t="n">
        <f aca="false">G120-$K$2</f>
        <v>-0.0337033109477442</v>
      </c>
      <c r="L120" s="6" t="n">
        <f aca="false">H120-$L$2</f>
        <v>-0.0109312446566038</v>
      </c>
      <c r="S120" s="9" t="n">
        <v>0.68</v>
      </c>
      <c r="T120" s="9" t="n">
        <v>0.13</v>
      </c>
      <c r="U120" s="9" t="n">
        <v>0.76</v>
      </c>
      <c r="V120" s="9" t="n">
        <v>0.97</v>
      </c>
      <c r="W120" s="22" t="n">
        <f aca="false">SUM(S120:V120)</f>
        <v>2.54</v>
      </c>
      <c r="X120" s="23" t="n">
        <f aca="false">S120/$W120</f>
        <v>0.267716535433071</v>
      </c>
      <c r="Y120" s="23" t="n">
        <f aca="false">T120/$W120</f>
        <v>0.0511811023622047</v>
      </c>
      <c r="Z120" s="23" t="n">
        <f aca="false">U120/$W120</f>
        <v>0.299212598425197</v>
      </c>
      <c r="AA120" s="23" t="n">
        <f aca="false">V120/$W120</f>
        <v>0.381889763779528</v>
      </c>
      <c r="AB120" s="23" t="n">
        <f aca="false">SUM(X120:AA120)</f>
        <v>1</v>
      </c>
      <c r="AC120" s="6" t="n">
        <f aca="false" t="array" ref="AC120:AC120">MMULT(MMULT(X120:AA120,$N$2:$Q$5),TRANSPOSE(X120:AA120))</f>
        <v>0.000263222877728787</v>
      </c>
      <c r="AD120" s="6" t="n">
        <f aca="false">SUMPRODUCT(X120:AA120,$E$237:$H$237)</f>
        <v>-0.000237115606482143</v>
      </c>
      <c r="AE120" s="24" t="n">
        <f aca="false">(AD120-$I$2)/SQRT(AC120)</f>
        <v>-0.0400792278249212</v>
      </c>
      <c r="AF120" s="6" t="n">
        <f aca="false">AD120</f>
        <v>-0.000237115606482143</v>
      </c>
      <c r="AG120" s="6" t="n">
        <f aca="false">AC120</f>
        <v>0.000263222877728787</v>
      </c>
      <c r="AH120" s="23" t="n">
        <f aca="false">X120</f>
        <v>0.267716535433071</v>
      </c>
      <c r="AI120" s="23" t="n">
        <f aca="false">Y120</f>
        <v>0.0511811023622047</v>
      </c>
      <c r="AJ120" s="23" t="n">
        <f aca="false">Z120</f>
        <v>0.299212598425197</v>
      </c>
      <c r="AK120" s="23" t="n">
        <f aca="false">AA120</f>
        <v>0.381889763779528</v>
      </c>
    </row>
    <row r="121" customFormat="false" ht="15" hidden="false" customHeight="true" outlineLevel="0" collapsed="false">
      <c r="A121" s="22" t="n">
        <f aca="false">aci!H122</f>
        <v>136.1</v>
      </c>
      <c r="B121" s="22" t="n">
        <f aca="false">apexfoot!H122</f>
        <v>235</v>
      </c>
      <c r="C121" s="22" t="n">
        <f aca="false">bxpharma!H122</f>
        <v>70.8</v>
      </c>
      <c r="D121" s="22" t="n">
        <f aca="false">batbc!H122</f>
        <v>364.6</v>
      </c>
      <c r="E121" s="6" t="n">
        <f aca="false">LN(A120/A121)</f>
        <v>0.00877840311650516</v>
      </c>
      <c r="F121" s="6" t="n">
        <f aca="false">LN(B120/B121)</f>
        <v>0.0198026272961797</v>
      </c>
      <c r="G121" s="6" t="n">
        <f aca="false">LN(C120/C121)</f>
        <v>0.0347016081929317</v>
      </c>
      <c r="H121" s="6" t="n">
        <f aca="false">LN(D120/D121)</f>
        <v>0.0474047784578043</v>
      </c>
      <c r="I121" s="6" t="n">
        <f aca="false">E121-$I$2</f>
        <v>0.00836526752328482</v>
      </c>
      <c r="J121" s="6" t="n">
        <f aca="false">F121-$J$2</f>
        <v>0.0193894917029594</v>
      </c>
      <c r="K121" s="6" t="n">
        <f aca="false">G121-$K$2</f>
        <v>0.0342884725997114</v>
      </c>
      <c r="L121" s="6" t="n">
        <f aca="false">H121-$L$2</f>
        <v>0.046991642864584</v>
      </c>
      <c r="S121" s="9" t="n">
        <v>0.89</v>
      </c>
      <c r="T121" s="9" t="n">
        <v>0.63</v>
      </c>
      <c r="U121" s="9" t="n">
        <v>0.61</v>
      </c>
      <c r="V121" s="9" t="n">
        <v>0.21</v>
      </c>
      <c r="W121" s="22" t="n">
        <f aca="false">SUM(S121:V121)</f>
        <v>2.34</v>
      </c>
      <c r="X121" s="23" t="n">
        <f aca="false">S121/$W121</f>
        <v>0.38034188034188</v>
      </c>
      <c r="Y121" s="23" t="n">
        <f aca="false">T121/$W121</f>
        <v>0.269230769230769</v>
      </c>
      <c r="Z121" s="23" t="n">
        <f aca="false">U121/$W121</f>
        <v>0.260683760683761</v>
      </c>
      <c r="AA121" s="23" t="n">
        <f aca="false">V121/$W121</f>
        <v>0.0897435897435897</v>
      </c>
      <c r="AB121" s="23" t="n">
        <f aca="false">SUM(X121:AA121)</f>
        <v>1</v>
      </c>
      <c r="AC121" s="6" t="n">
        <f aca="false" t="array" ref="AC121:AC121">MMULT(MMULT(X121:AA121,$N$2:$Q$5),TRANSPOSE(X121:AA121))</f>
        <v>0.000273003243749558</v>
      </c>
      <c r="AD121" s="6" t="n">
        <f aca="false">SUMPRODUCT(X121:AA121,$E$237:$H$237)</f>
        <v>5.06985146609416E-005</v>
      </c>
      <c r="AE121" s="24" t="n">
        <f aca="false">(AD121-$I$2)/SQRT(AC121)</f>
        <v>-0.0219355595631111</v>
      </c>
      <c r="AF121" s="6" t="n">
        <f aca="false">AD121</f>
        <v>5.06985146609416E-005</v>
      </c>
      <c r="AG121" s="6" t="n">
        <f aca="false">AC121</f>
        <v>0.000273003243749558</v>
      </c>
      <c r="AH121" s="23" t="n">
        <f aca="false">X121</f>
        <v>0.38034188034188</v>
      </c>
      <c r="AI121" s="23" t="n">
        <f aca="false">Y121</f>
        <v>0.269230769230769</v>
      </c>
      <c r="AJ121" s="23" t="n">
        <f aca="false">Z121</f>
        <v>0.260683760683761</v>
      </c>
      <c r="AK121" s="23" t="n">
        <f aca="false">AA121</f>
        <v>0.0897435897435897</v>
      </c>
    </row>
    <row r="122" customFormat="false" ht="15" hidden="false" customHeight="true" outlineLevel="0" collapsed="false">
      <c r="A122" s="22" t="n">
        <f aca="false">aci!H123</f>
        <v>138.5</v>
      </c>
      <c r="B122" s="22" t="n">
        <f aca="false">apexfoot!H123</f>
        <v>235.6</v>
      </c>
      <c r="C122" s="22" t="n">
        <f aca="false">bxpharma!H123</f>
        <v>70.1</v>
      </c>
      <c r="D122" s="22" t="n">
        <f aca="false">batbc!H123</f>
        <v>372.7</v>
      </c>
      <c r="E122" s="6" t="n">
        <f aca="false">LN(A121/A122)</f>
        <v>-0.0174804159699728</v>
      </c>
      <c r="F122" s="6" t="n">
        <f aca="false">LN(B121/B122)</f>
        <v>-0.00254993763327265</v>
      </c>
      <c r="G122" s="6" t="n">
        <f aca="false">LN(C121/C122)</f>
        <v>0.00993620665912976</v>
      </c>
      <c r="H122" s="6" t="n">
        <f aca="false">LN(D121/D122)</f>
        <v>-0.02197294424065</v>
      </c>
      <c r="I122" s="6" t="n">
        <f aca="false">E122-$I$2</f>
        <v>-0.0178935515631932</v>
      </c>
      <c r="J122" s="6" t="n">
        <f aca="false">F122-$J$2</f>
        <v>-0.00296307322649299</v>
      </c>
      <c r="K122" s="6" t="n">
        <f aca="false">G122-$K$2</f>
        <v>0.00952307106590942</v>
      </c>
      <c r="L122" s="6" t="n">
        <f aca="false">H122-$L$2</f>
        <v>-0.0223860798338703</v>
      </c>
      <c r="S122" s="9" t="n">
        <v>0.6</v>
      </c>
      <c r="T122" s="9" t="n">
        <v>0.75</v>
      </c>
      <c r="U122" s="9" t="n">
        <v>0.64</v>
      </c>
      <c r="V122" s="9" t="n">
        <v>0.53</v>
      </c>
      <c r="W122" s="22" t="n">
        <f aca="false">SUM(S122:V122)</f>
        <v>2.52</v>
      </c>
      <c r="X122" s="23" t="n">
        <f aca="false">S122/$W122</f>
        <v>0.238095238095238</v>
      </c>
      <c r="Y122" s="23" t="n">
        <f aca="false">T122/$W122</f>
        <v>0.297619047619048</v>
      </c>
      <c r="Z122" s="23" t="n">
        <f aca="false">U122/$W122</f>
        <v>0.253968253968254</v>
      </c>
      <c r="AA122" s="23" t="n">
        <f aca="false">V122/$W122</f>
        <v>0.21031746031746</v>
      </c>
      <c r="AB122" s="23" t="n">
        <f aca="false">SUM(X122:AA122)</f>
        <v>1</v>
      </c>
      <c r="AC122" s="6" t="n">
        <f aca="false" t="array" ref="AC122:AC122">MMULT(MMULT(X122:AA122,$N$2:$Q$5),TRANSPOSE(X122:AA122))</f>
        <v>0.000225158675649611</v>
      </c>
      <c r="AD122" s="6" t="n">
        <f aca="false">SUMPRODUCT(X122:AA122,$E$237:$H$237)</f>
        <v>-0.000240414429526141</v>
      </c>
      <c r="AE122" s="24" t="n">
        <f aca="false">(AD122-$I$2)/SQRT(AC122)</f>
        <v>-0.0435546463080711</v>
      </c>
      <c r="AF122" s="6" t="n">
        <f aca="false">AD122</f>
        <v>-0.000240414429526141</v>
      </c>
      <c r="AG122" s="6" t="n">
        <f aca="false">AC122</f>
        <v>0.000225158675649611</v>
      </c>
      <c r="AH122" s="23" t="n">
        <f aca="false">X122</f>
        <v>0.238095238095238</v>
      </c>
      <c r="AI122" s="23" t="n">
        <f aca="false">Y122</f>
        <v>0.297619047619048</v>
      </c>
      <c r="AJ122" s="23" t="n">
        <f aca="false">Z122</f>
        <v>0.253968253968254</v>
      </c>
      <c r="AK122" s="23" t="n">
        <f aca="false">AA122</f>
        <v>0.21031746031746</v>
      </c>
    </row>
    <row r="123" customFormat="false" ht="15" hidden="false" customHeight="true" outlineLevel="0" collapsed="false">
      <c r="A123" s="22" t="n">
        <f aca="false">aci!H124</f>
        <v>141.2</v>
      </c>
      <c r="B123" s="22" t="n">
        <f aca="false">apexfoot!H124</f>
        <v>238.9</v>
      </c>
      <c r="C123" s="22" t="n">
        <f aca="false">bxpharma!H124</f>
        <v>69.5</v>
      </c>
      <c r="D123" s="22" t="n">
        <f aca="false">batbc!H124</f>
        <v>379.3</v>
      </c>
      <c r="E123" s="6" t="n">
        <f aca="false">LN(A122/A123)</f>
        <v>-0.0193069994317484</v>
      </c>
      <c r="F123" s="6" t="n">
        <f aca="false">LN(B122/B123)</f>
        <v>-0.0139096025543323</v>
      </c>
      <c r="G123" s="6" t="n">
        <f aca="false">LN(C122/C123)</f>
        <v>0.00859604146979782</v>
      </c>
      <c r="H123" s="6" t="n">
        <f aca="false">LN(D122/D123)</f>
        <v>-0.0175536422096406</v>
      </c>
      <c r="I123" s="6" t="n">
        <f aca="false">E123-$I$2</f>
        <v>-0.0197201350249687</v>
      </c>
      <c r="J123" s="6" t="n">
        <f aca="false">F123-$J$2</f>
        <v>-0.0143227381475526</v>
      </c>
      <c r="K123" s="6" t="n">
        <f aca="false">G123-$K$2</f>
        <v>0.00818290587657748</v>
      </c>
      <c r="L123" s="6" t="n">
        <f aca="false">H123-$L$2</f>
        <v>-0.0179667778028609</v>
      </c>
      <c r="S123" s="9" t="n">
        <v>0.07</v>
      </c>
      <c r="T123" s="9" t="n">
        <v>0.63</v>
      </c>
      <c r="U123" s="9" t="n">
        <v>0.81</v>
      </c>
      <c r="V123" s="9" t="n">
        <v>0.05</v>
      </c>
      <c r="W123" s="22" t="n">
        <f aca="false">SUM(S123:V123)</f>
        <v>1.56</v>
      </c>
      <c r="X123" s="23" t="n">
        <f aca="false">S123/$W123</f>
        <v>0.0448717948717949</v>
      </c>
      <c r="Y123" s="23" t="n">
        <f aca="false">T123/$W123</f>
        <v>0.403846153846154</v>
      </c>
      <c r="Z123" s="23" t="n">
        <f aca="false">U123/$W123</f>
        <v>0.519230769230769</v>
      </c>
      <c r="AA123" s="23" t="n">
        <f aca="false">V123/$W123</f>
        <v>0.0320512820512821</v>
      </c>
      <c r="AB123" s="23" t="n">
        <f aca="false">SUM(X123:AA123)</f>
        <v>1</v>
      </c>
      <c r="AC123" s="6" t="n">
        <f aca="false" t="array" ref="AC123:AC123">MMULT(MMULT(X123:AA123,$N$2:$Q$5),TRANSPOSE(X123:AA123))</f>
        <v>0.000256591305965996</v>
      </c>
      <c r="AD123" s="6" t="n">
        <f aca="false">SUMPRODUCT(X123:AA123,$E$237:$H$237)</f>
        <v>-0.000451706535653946</v>
      </c>
      <c r="AE123" s="24" t="n">
        <f aca="false">(AD123-$I$2)/SQRT(AC123)</f>
        <v>-0.0539903159017652</v>
      </c>
      <c r="AF123" s="6" t="n">
        <f aca="false">AD123</f>
        <v>-0.000451706535653946</v>
      </c>
      <c r="AG123" s="6" t="n">
        <f aca="false">AC123</f>
        <v>0.000256591305965996</v>
      </c>
      <c r="AH123" s="23" t="n">
        <f aca="false">X123</f>
        <v>0.0448717948717949</v>
      </c>
      <c r="AI123" s="23" t="n">
        <f aca="false">Y123</f>
        <v>0.403846153846154</v>
      </c>
      <c r="AJ123" s="23" t="n">
        <f aca="false">Z123</f>
        <v>0.519230769230769</v>
      </c>
      <c r="AK123" s="23" t="n">
        <f aca="false">AA123</f>
        <v>0.0320512820512821</v>
      </c>
    </row>
    <row r="124" customFormat="false" ht="15" hidden="false" customHeight="true" outlineLevel="0" collapsed="false">
      <c r="A124" s="22" t="n">
        <f aca="false">aci!H125</f>
        <v>142.6</v>
      </c>
      <c r="B124" s="22" t="n">
        <f aca="false">apexfoot!H125</f>
        <v>242.6</v>
      </c>
      <c r="C124" s="22" t="n">
        <f aca="false">bxpharma!H125</f>
        <v>67.5</v>
      </c>
      <c r="D124" s="22" t="n">
        <f aca="false">batbc!H125</f>
        <v>381.2</v>
      </c>
      <c r="E124" s="6" t="n">
        <f aca="false">LN(A123/A124)</f>
        <v>-0.00986618292105394</v>
      </c>
      <c r="F124" s="6" t="n">
        <f aca="false">LN(B123/B124)</f>
        <v>-0.0153689421781859</v>
      </c>
      <c r="G124" s="6" t="n">
        <f aca="false">LN(C123/C124)</f>
        <v>0.0291991546922624</v>
      </c>
      <c r="H124" s="6" t="n">
        <f aca="false">LN(D123/D124)</f>
        <v>-0.0049967230851937</v>
      </c>
      <c r="I124" s="6" t="n">
        <f aca="false">E124-$I$2</f>
        <v>-0.0102793185142743</v>
      </c>
      <c r="J124" s="6" t="n">
        <f aca="false">F124-$J$2</f>
        <v>-0.0157820777714062</v>
      </c>
      <c r="K124" s="6" t="n">
        <f aca="false">G124-$K$2</f>
        <v>0.028786019099042</v>
      </c>
      <c r="L124" s="6" t="n">
        <f aca="false">H124-$L$2</f>
        <v>-0.00540985867841404</v>
      </c>
      <c r="S124" s="9" t="n">
        <v>0.16</v>
      </c>
      <c r="T124" s="9" t="n">
        <v>0.78</v>
      </c>
      <c r="U124" s="9" t="n">
        <v>0.12</v>
      </c>
      <c r="V124" s="9" t="n">
        <v>0.7</v>
      </c>
      <c r="W124" s="22" t="n">
        <f aca="false">SUM(S124:V124)</f>
        <v>1.76</v>
      </c>
      <c r="X124" s="23" t="n">
        <f aca="false">S124/$W124</f>
        <v>0.0909090909090909</v>
      </c>
      <c r="Y124" s="23" t="n">
        <f aca="false">T124/$W124</f>
        <v>0.443181818181818</v>
      </c>
      <c r="Z124" s="23" t="n">
        <f aca="false">U124/$W124</f>
        <v>0.0681818181818182</v>
      </c>
      <c r="AA124" s="23" t="n">
        <f aca="false">V124/$W124</f>
        <v>0.397727272727273</v>
      </c>
      <c r="AB124" s="23" t="n">
        <f aca="false">SUM(X124:AA124)</f>
        <v>1</v>
      </c>
      <c r="AC124" s="6" t="n">
        <f aca="false" t="array" ref="AC124:AC124">MMULT(MMULT(X124:AA124,$N$2:$Q$5),TRANSPOSE(X124:AA124))</f>
        <v>0.000214771014612203</v>
      </c>
      <c r="AD124" s="6" t="n">
        <f aca="false">SUMPRODUCT(X124:AA124,$E$237:$H$237)</f>
        <v>-0.000606335178731543</v>
      </c>
      <c r="AE124" s="24" t="n">
        <f aca="false">(AD124-$I$2)/SQRT(AC124)</f>
        <v>-0.0695643841566134</v>
      </c>
      <c r="AF124" s="6" t="n">
        <f aca="false">AD124</f>
        <v>-0.000606335178731543</v>
      </c>
      <c r="AG124" s="6" t="n">
        <f aca="false">AC124</f>
        <v>0.000214771014612203</v>
      </c>
      <c r="AH124" s="23" t="n">
        <f aca="false">X124</f>
        <v>0.0909090909090909</v>
      </c>
      <c r="AI124" s="23" t="n">
        <f aca="false">Y124</f>
        <v>0.443181818181818</v>
      </c>
      <c r="AJ124" s="23" t="n">
        <f aca="false">Z124</f>
        <v>0.0681818181818182</v>
      </c>
      <c r="AK124" s="23" t="n">
        <f aca="false">AA124</f>
        <v>0.397727272727273</v>
      </c>
    </row>
    <row r="125" customFormat="false" ht="15" hidden="false" customHeight="true" outlineLevel="0" collapsed="false">
      <c r="A125" s="22" t="n">
        <f aca="false">aci!H126</f>
        <v>141.8</v>
      </c>
      <c r="B125" s="22" t="n">
        <f aca="false">apexfoot!H126</f>
        <v>246</v>
      </c>
      <c r="C125" s="22" t="n">
        <f aca="false">bxpharma!H126</f>
        <v>65.3</v>
      </c>
      <c r="D125" s="22" t="n">
        <f aca="false">batbc!H126</f>
        <v>381.1</v>
      </c>
      <c r="E125" s="6" t="n">
        <f aca="false">LN(A124/A125)</f>
        <v>0.00562589388216821</v>
      </c>
      <c r="F125" s="6" t="n">
        <f aca="false">LN(B124/B125)</f>
        <v>-0.013917539422413</v>
      </c>
      <c r="G125" s="6" t="n">
        <f aca="false">LN(C124/C125)</f>
        <v>0.0331355615960987</v>
      </c>
      <c r="H125" s="6" t="n">
        <f aca="false">LN(D124/D125)</f>
        <v>0.000262363900232438</v>
      </c>
      <c r="I125" s="6" t="n">
        <f aca="false">E125-$I$2</f>
        <v>0.00521275828894787</v>
      </c>
      <c r="J125" s="6" t="n">
        <f aca="false">F125-$J$2</f>
        <v>-0.0143306750156334</v>
      </c>
      <c r="K125" s="6" t="n">
        <f aca="false">G125-$K$2</f>
        <v>0.0327224260028784</v>
      </c>
      <c r="L125" s="6" t="n">
        <f aca="false">H125-$L$2</f>
        <v>-0.000150771692987901</v>
      </c>
      <c r="S125" s="9" t="n">
        <v>0.86</v>
      </c>
      <c r="T125" s="9" t="n">
        <v>0.53</v>
      </c>
      <c r="U125" s="9" t="n">
        <v>0.68</v>
      </c>
      <c r="V125" s="9" t="n">
        <v>0.09</v>
      </c>
      <c r="W125" s="22" t="n">
        <f aca="false">SUM(S125:V125)</f>
        <v>2.16</v>
      </c>
      <c r="X125" s="23" t="n">
        <f aca="false">S125/$W125</f>
        <v>0.398148148148148</v>
      </c>
      <c r="Y125" s="23" t="n">
        <f aca="false">T125/$W125</f>
        <v>0.24537037037037</v>
      </c>
      <c r="Z125" s="23" t="n">
        <f aca="false">U125/$W125</f>
        <v>0.314814814814815</v>
      </c>
      <c r="AA125" s="23" t="n">
        <f aca="false">V125/$W125</f>
        <v>0.0416666666666667</v>
      </c>
      <c r="AB125" s="23" t="n">
        <f aca="false">SUM(X125:AA125)</f>
        <v>1</v>
      </c>
      <c r="AC125" s="6" t="n">
        <f aca="false" t="array" ref="AC125:AC125">MMULT(MMULT(X125:AA125,$N$2:$Q$5),TRANSPOSE(X125:AA125))</f>
        <v>0.000289258974993161</v>
      </c>
      <c r="AD125" s="6" t="n">
        <f aca="false">SUMPRODUCT(X125:AA125,$E$237:$H$237)</f>
        <v>0.000111359671560864</v>
      </c>
      <c r="AE125" s="24" t="n">
        <f aca="false">(AD125-$I$2)/SQRT(AC125)</f>
        <v>-0.017743576510019</v>
      </c>
      <c r="AF125" s="6" t="n">
        <f aca="false">AD125</f>
        <v>0.000111359671560864</v>
      </c>
      <c r="AG125" s="6" t="n">
        <f aca="false">AC125</f>
        <v>0.000289258974993161</v>
      </c>
      <c r="AH125" s="23" t="n">
        <f aca="false">X125</f>
        <v>0.398148148148148</v>
      </c>
      <c r="AI125" s="23" t="n">
        <f aca="false">Y125</f>
        <v>0.24537037037037</v>
      </c>
      <c r="AJ125" s="23" t="n">
        <f aca="false">Z125</f>
        <v>0.314814814814815</v>
      </c>
      <c r="AK125" s="23" t="n">
        <f aca="false">AA125</f>
        <v>0.0416666666666667</v>
      </c>
    </row>
    <row r="126" customFormat="false" ht="15" hidden="false" customHeight="true" outlineLevel="0" collapsed="false">
      <c r="A126" s="22" t="n">
        <f aca="false">aci!H127</f>
        <v>144</v>
      </c>
      <c r="B126" s="22" t="n">
        <f aca="false">apexfoot!H127</f>
        <v>243</v>
      </c>
      <c r="C126" s="22" t="n">
        <f aca="false">bxpharma!H127</f>
        <v>70.5</v>
      </c>
      <c r="D126" s="22" t="n">
        <f aca="false">batbc!H127</f>
        <v>392</v>
      </c>
      <c r="E126" s="6" t="n">
        <f aca="false">LN(A125/A126)</f>
        <v>-0.0153956854779734</v>
      </c>
      <c r="F126" s="6" t="n">
        <f aca="false">LN(B125/B126)</f>
        <v>0.0122700925918144</v>
      </c>
      <c r="G126" s="6" t="n">
        <f aca="false">LN(C125/C126)</f>
        <v>-0.0766206735358376</v>
      </c>
      <c r="H126" s="6" t="n">
        <f aca="false">LN(D125/D126)</f>
        <v>-0.0282000319106479</v>
      </c>
      <c r="I126" s="6" t="n">
        <f aca="false">E126-$I$2</f>
        <v>-0.0158088210711938</v>
      </c>
      <c r="J126" s="6" t="n">
        <f aca="false">F126-$J$2</f>
        <v>0.0118569569985941</v>
      </c>
      <c r="K126" s="6" t="n">
        <f aca="false">G126-$K$2</f>
        <v>-0.0770338091290579</v>
      </c>
      <c r="L126" s="6" t="n">
        <f aca="false">H126-$L$2</f>
        <v>-0.0286131675038683</v>
      </c>
      <c r="S126" s="9" t="n">
        <v>0.59</v>
      </c>
      <c r="T126" s="9" t="n">
        <v>0.52</v>
      </c>
      <c r="U126" s="9" t="n">
        <v>0.71</v>
      </c>
      <c r="V126" s="9" t="n">
        <v>0.56</v>
      </c>
      <c r="W126" s="22" t="n">
        <f aca="false">SUM(S126:V126)</f>
        <v>2.38</v>
      </c>
      <c r="X126" s="23" t="n">
        <f aca="false">S126/$W126</f>
        <v>0.247899159663866</v>
      </c>
      <c r="Y126" s="23" t="n">
        <f aca="false">T126/$W126</f>
        <v>0.218487394957983</v>
      </c>
      <c r="Z126" s="23" t="n">
        <f aca="false">U126/$W126</f>
        <v>0.298319327731092</v>
      </c>
      <c r="AA126" s="23" t="n">
        <f aca="false">V126/$W126</f>
        <v>0.235294117647059</v>
      </c>
      <c r="AB126" s="23" t="n">
        <f aca="false">SUM(X126:AA126)</f>
        <v>1</v>
      </c>
      <c r="AC126" s="6" t="n">
        <f aca="false" t="array" ref="AC126:AC126">MMULT(MMULT(X126:AA126,$N$2:$Q$5),TRANSPOSE(X126:AA126))</f>
        <v>0.000235469914837285</v>
      </c>
      <c r="AD126" s="6" t="n">
        <f aca="false">SUMPRODUCT(X126:AA126,$E$237:$H$237)</f>
        <v>-0.000221267941237744</v>
      </c>
      <c r="AE126" s="24" t="n">
        <f aca="false">(AD126-$I$2)/SQRT(AC126)</f>
        <v>-0.0413426090424385</v>
      </c>
      <c r="AF126" s="6" t="n">
        <f aca="false">AD126</f>
        <v>-0.000221267941237744</v>
      </c>
      <c r="AG126" s="6" t="n">
        <f aca="false">AC126</f>
        <v>0.000235469914837285</v>
      </c>
      <c r="AH126" s="23" t="n">
        <f aca="false">X126</f>
        <v>0.247899159663866</v>
      </c>
      <c r="AI126" s="23" t="n">
        <f aca="false">Y126</f>
        <v>0.218487394957983</v>
      </c>
      <c r="AJ126" s="23" t="n">
        <f aca="false">Z126</f>
        <v>0.298319327731092</v>
      </c>
      <c r="AK126" s="23" t="n">
        <f aca="false">AA126</f>
        <v>0.235294117647059</v>
      </c>
    </row>
    <row r="127" customFormat="false" ht="15" hidden="false" customHeight="true" outlineLevel="0" collapsed="false">
      <c r="A127" s="22" t="n">
        <f aca="false">aci!H128</f>
        <v>144.6</v>
      </c>
      <c r="B127" s="22" t="n">
        <f aca="false">apexfoot!H128</f>
        <v>239.9</v>
      </c>
      <c r="C127" s="22" t="n">
        <f aca="false">bxpharma!H128</f>
        <v>73</v>
      </c>
      <c r="D127" s="22" t="n">
        <f aca="false">batbc!H128</f>
        <v>394.1</v>
      </c>
      <c r="E127" s="6" t="n">
        <f aca="false">LN(A126/A127)</f>
        <v>-0.00415801014866368</v>
      </c>
      <c r="F127" s="6" t="n">
        <f aca="false">LN(B126/B127)</f>
        <v>0.0128392734948995</v>
      </c>
      <c r="G127" s="6" t="n">
        <f aca="false">LN(C126/C127)</f>
        <v>-0.0348467313301682</v>
      </c>
      <c r="H127" s="6" t="n">
        <f aca="false">LN(D126/D127)</f>
        <v>-0.00534284441049547</v>
      </c>
      <c r="I127" s="6" t="n">
        <f aca="false">E127-$I$2</f>
        <v>-0.00457114574188402</v>
      </c>
      <c r="J127" s="6" t="n">
        <f aca="false">F127-$J$2</f>
        <v>0.0124261379016792</v>
      </c>
      <c r="K127" s="6" t="n">
        <f aca="false">G127-$K$2</f>
        <v>-0.0352598669233885</v>
      </c>
      <c r="L127" s="6" t="n">
        <f aca="false">H127-$L$2</f>
        <v>-0.00575598000371581</v>
      </c>
      <c r="S127" s="9" t="n">
        <v>0.14</v>
      </c>
      <c r="T127" s="9" t="n">
        <v>0.97</v>
      </c>
      <c r="U127" s="9" t="n">
        <v>0.18</v>
      </c>
      <c r="V127" s="9" t="n">
        <v>0.33</v>
      </c>
      <c r="W127" s="22" t="n">
        <f aca="false">SUM(S127:V127)</f>
        <v>1.62</v>
      </c>
      <c r="X127" s="23" t="n">
        <f aca="false">S127/$W127</f>
        <v>0.0864197530864198</v>
      </c>
      <c r="Y127" s="23" t="n">
        <f aca="false">T127/$W127</f>
        <v>0.598765432098765</v>
      </c>
      <c r="Z127" s="23" t="n">
        <f aca="false">U127/$W127</f>
        <v>0.111111111111111</v>
      </c>
      <c r="AA127" s="23" t="n">
        <f aca="false">V127/$W127</f>
        <v>0.203703703703704</v>
      </c>
      <c r="AB127" s="23" t="n">
        <f aca="false">SUM(X127:AA127)</f>
        <v>1</v>
      </c>
      <c r="AC127" s="6" t="n">
        <f aca="false" t="array" ref="AC127:AC127">MMULT(MMULT(X127:AA127,$N$2:$Q$5),TRANSPOSE(X127:AA127))</f>
        <v>0.000214681743370165</v>
      </c>
      <c r="AD127" s="6" t="n">
        <f aca="false">SUMPRODUCT(X127:AA127,$E$237:$H$237)</f>
        <v>-0.000536851901689416</v>
      </c>
      <c r="AE127" s="24" t="n">
        <f aca="false">(AD127-$I$2)/SQRT(AC127)</f>
        <v>-0.0648366148151288</v>
      </c>
      <c r="AF127" s="6" t="n">
        <f aca="false">AD127</f>
        <v>-0.000536851901689416</v>
      </c>
      <c r="AG127" s="6" t="n">
        <f aca="false">AC127</f>
        <v>0.000214681743370165</v>
      </c>
      <c r="AH127" s="23" t="n">
        <f aca="false">X127</f>
        <v>0.0864197530864198</v>
      </c>
      <c r="AI127" s="23" t="n">
        <f aca="false">Y127</f>
        <v>0.598765432098765</v>
      </c>
      <c r="AJ127" s="23" t="n">
        <f aca="false">Z127</f>
        <v>0.111111111111111</v>
      </c>
      <c r="AK127" s="23" t="n">
        <f aca="false">AA127</f>
        <v>0.203703703703704</v>
      </c>
    </row>
    <row r="128" customFormat="false" ht="15" hidden="false" customHeight="true" outlineLevel="0" collapsed="false">
      <c r="A128" s="22" t="n">
        <f aca="false">aci!H129</f>
        <v>145.3</v>
      </c>
      <c r="B128" s="22" t="n">
        <f aca="false">apexfoot!H129</f>
        <v>234.6</v>
      </c>
      <c r="C128" s="22" t="n">
        <f aca="false">bxpharma!H129</f>
        <v>73</v>
      </c>
      <c r="D128" s="22" t="n">
        <f aca="false">batbc!H129</f>
        <v>397</v>
      </c>
      <c r="E128" s="6" t="n">
        <f aca="false">LN(A127/A128)</f>
        <v>-0.00482926085157297</v>
      </c>
      <c r="F128" s="6" t="n">
        <f aca="false">LN(B127/B128)</f>
        <v>0.0223402336262739</v>
      </c>
      <c r="G128" s="6" t="n">
        <f aca="false">LN(C127/C128)</f>
        <v>0</v>
      </c>
      <c r="H128" s="6" t="n">
        <f aca="false">LN(D127/D128)</f>
        <v>-0.00733159648623233</v>
      </c>
      <c r="I128" s="6" t="n">
        <f aca="false">E128-$I$2</f>
        <v>-0.00524239644479331</v>
      </c>
      <c r="J128" s="6" t="n">
        <f aca="false">F128-$J$2</f>
        <v>0.0219270980330535</v>
      </c>
      <c r="K128" s="6" t="n">
        <f aca="false">G128-$K$2</f>
        <v>-0.000413135593220339</v>
      </c>
      <c r="L128" s="6" t="n">
        <f aca="false">H128-$L$2</f>
        <v>-0.00774473207945267</v>
      </c>
      <c r="S128" s="9" t="n">
        <v>0.59</v>
      </c>
      <c r="T128" s="9" t="n">
        <v>0.45</v>
      </c>
      <c r="U128" s="9" t="n">
        <v>0.26</v>
      </c>
      <c r="V128" s="9" t="n">
        <v>0.4</v>
      </c>
      <c r="W128" s="22" t="n">
        <f aca="false">SUM(S128:V128)</f>
        <v>1.7</v>
      </c>
      <c r="X128" s="23" t="n">
        <f aca="false">S128/$W128</f>
        <v>0.347058823529412</v>
      </c>
      <c r="Y128" s="23" t="n">
        <f aca="false">T128/$W128</f>
        <v>0.264705882352941</v>
      </c>
      <c r="Z128" s="23" t="n">
        <f aca="false">U128/$W128</f>
        <v>0.152941176470588</v>
      </c>
      <c r="AA128" s="23" t="n">
        <f aca="false">V128/$W128</f>
        <v>0.235294117647059</v>
      </c>
      <c r="AB128" s="23" t="n">
        <f aca="false">SUM(X128:AA128)</f>
        <v>1</v>
      </c>
      <c r="AC128" s="6" t="n">
        <f aca="false" t="array" ref="AC128:AC128">MMULT(MMULT(X128:AA128,$N$2:$Q$5),TRANSPOSE(X128:AA128))</f>
        <v>0.000258949885827231</v>
      </c>
      <c r="AD128" s="6" t="n">
        <f aca="false">SUMPRODUCT(X128:AA128,$E$237:$H$237)</f>
        <v>-8.34883032379413E-005</v>
      </c>
      <c r="AE128" s="24" t="n">
        <f aca="false">(AD128-$I$2)/SQRT(AC128)</f>
        <v>-0.030861693307905</v>
      </c>
      <c r="AF128" s="6" t="n">
        <f aca="false">AD128</f>
        <v>-8.34883032379413E-005</v>
      </c>
      <c r="AG128" s="6" t="n">
        <f aca="false">AC128</f>
        <v>0.000258949885827231</v>
      </c>
      <c r="AH128" s="23" t="n">
        <f aca="false">X128</f>
        <v>0.347058823529412</v>
      </c>
      <c r="AI128" s="23" t="n">
        <f aca="false">Y128</f>
        <v>0.264705882352941</v>
      </c>
      <c r="AJ128" s="23" t="n">
        <f aca="false">Z128</f>
        <v>0.152941176470588</v>
      </c>
      <c r="AK128" s="23" t="n">
        <f aca="false">AA128</f>
        <v>0.235294117647059</v>
      </c>
    </row>
    <row r="129" customFormat="false" ht="15" hidden="false" customHeight="true" outlineLevel="0" collapsed="false">
      <c r="A129" s="22" t="n">
        <f aca="false">aci!H130</f>
        <v>145.8</v>
      </c>
      <c r="B129" s="22" t="n">
        <f aca="false">apexfoot!H130</f>
        <v>234.1</v>
      </c>
      <c r="C129" s="22" t="n">
        <f aca="false">bxpharma!H130</f>
        <v>71.3</v>
      </c>
      <c r="D129" s="22" t="n">
        <f aca="false">batbc!H130</f>
        <v>397</v>
      </c>
      <c r="E129" s="6" t="n">
        <f aca="false">LN(A128/A129)</f>
        <v>-0.00343524899832056</v>
      </c>
      <c r="F129" s="6" t="n">
        <f aca="false">LN(B128/B129)</f>
        <v>0.00213356172251002</v>
      </c>
      <c r="G129" s="6" t="n">
        <f aca="false">LN(C128/C129)</f>
        <v>0.0235631137281409</v>
      </c>
      <c r="H129" s="6" t="n">
        <f aca="false">LN(D128/D129)</f>
        <v>0</v>
      </c>
      <c r="I129" s="6" t="n">
        <f aca="false">E129-$I$2</f>
        <v>-0.0038483845915409</v>
      </c>
      <c r="J129" s="6" t="n">
        <f aca="false">F129-$J$2</f>
        <v>0.00172042612928968</v>
      </c>
      <c r="K129" s="6" t="n">
        <f aca="false">G129-$K$2</f>
        <v>0.0231499781349206</v>
      </c>
      <c r="L129" s="6" t="n">
        <f aca="false">H129-$L$2</f>
        <v>-0.000413135593220339</v>
      </c>
      <c r="S129" s="9" t="n">
        <v>0.78</v>
      </c>
      <c r="T129" s="9" t="n">
        <v>0.6</v>
      </c>
      <c r="U129" s="9" t="n">
        <v>0.64</v>
      </c>
      <c r="V129" s="9" t="n">
        <v>0.87</v>
      </c>
      <c r="W129" s="22" t="n">
        <f aca="false">SUM(S129:V129)</f>
        <v>2.89</v>
      </c>
      <c r="X129" s="23" t="n">
        <f aca="false">S129/$W129</f>
        <v>0.269896193771626</v>
      </c>
      <c r="Y129" s="23" t="n">
        <f aca="false">T129/$W129</f>
        <v>0.207612456747405</v>
      </c>
      <c r="Z129" s="23" t="n">
        <f aca="false">U129/$W129</f>
        <v>0.221453287197232</v>
      </c>
      <c r="AA129" s="23" t="n">
        <f aca="false">V129/$W129</f>
        <v>0.301038062283737</v>
      </c>
      <c r="AB129" s="23" t="n">
        <f aca="false">SUM(X129:AA129)</f>
        <v>1</v>
      </c>
      <c r="AC129" s="6" t="n">
        <f aca="false" t="array" ref="AC129:AC129">MMULT(MMULT(X129:AA129,$N$2:$Q$5),TRANSPOSE(X129:AA129))</f>
        <v>0.000239048649763667</v>
      </c>
      <c r="AD129" s="6" t="n">
        <f aca="false">SUMPRODUCT(X129:AA129,$E$237:$H$237)</f>
        <v>-0.000224141360277529</v>
      </c>
      <c r="AE129" s="24" t="n">
        <f aca="false">(AD129-$I$2)/SQRT(AC129)</f>
        <v>-0.0412178244710178</v>
      </c>
      <c r="AF129" s="6" t="n">
        <f aca="false">AD129</f>
        <v>-0.000224141360277529</v>
      </c>
      <c r="AG129" s="6" t="n">
        <f aca="false">AC129</f>
        <v>0.000239048649763667</v>
      </c>
      <c r="AH129" s="23" t="n">
        <f aca="false">X129</f>
        <v>0.269896193771626</v>
      </c>
      <c r="AI129" s="23" t="n">
        <f aca="false">Y129</f>
        <v>0.207612456747405</v>
      </c>
      <c r="AJ129" s="23" t="n">
        <f aca="false">Z129</f>
        <v>0.221453287197232</v>
      </c>
      <c r="AK129" s="23" t="n">
        <f aca="false">AA129</f>
        <v>0.301038062283737</v>
      </c>
    </row>
    <row r="130" customFormat="false" ht="15" hidden="false" customHeight="true" outlineLevel="0" collapsed="false">
      <c r="A130" s="22" t="n">
        <f aca="false">aci!H131</f>
        <v>145.6</v>
      </c>
      <c r="B130" s="22" t="n">
        <f aca="false">apexfoot!H131</f>
        <v>236.2</v>
      </c>
      <c r="C130" s="22" t="n">
        <f aca="false">bxpharma!H131</f>
        <v>71.9</v>
      </c>
      <c r="D130" s="22" t="n">
        <f aca="false">batbc!H131</f>
        <v>400.7</v>
      </c>
      <c r="E130" s="6" t="n">
        <f aca="false">LN(A129/A130)</f>
        <v>0.0013726838119724</v>
      </c>
      <c r="F130" s="6" t="n">
        <f aca="false">LN(B129/B130)</f>
        <v>-0.00893052926639684</v>
      </c>
      <c r="G130" s="6" t="n">
        <f aca="false">LN(C129/C130)</f>
        <v>-0.00837993730675092</v>
      </c>
      <c r="H130" s="6" t="n">
        <f aca="false">LN(D129/D130)</f>
        <v>-0.00927673695490839</v>
      </c>
      <c r="I130" s="6" t="n">
        <f aca="false">E130-$I$2</f>
        <v>0.000959548218752057</v>
      </c>
      <c r="J130" s="6" t="n">
        <f aca="false">F130-$J$2</f>
        <v>-0.00934366485961718</v>
      </c>
      <c r="K130" s="6" t="n">
        <f aca="false">G130-$K$2</f>
        <v>-0.00879307289997126</v>
      </c>
      <c r="L130" s="6" t="n">
        <f aca="false">H130-$L$2</f>
        <v>-0.00968987254812873</v>
      </c>
      <c r="S130" s="9" t="n">
        <v>0.23</v>
      </c>
      <c r="T130" s="9" t="n">
        <v>0.57</v>
      </c>
      <c r="U130" s="9" t="n">
        <v>0.13</v>
      </c>
      <c r="V130" s="9" t="n">
        <v>0.33</v>
      </c>
      <c r="W130" s="22" t="n">
        <f aca="false">SUM(S130:V130)</f>
        <v>1.26</v>
      </c>
      <c r="X130" s="23" t="n">
        <f aca="false">S130/$W130</f>
        <v>0.182539682539683</v>
      </c>
      <c r="Y130" s="23" t="n">
        <f aca="false">T130/$W130</f>
        <v>0.452380952380952</v>
      </c>
      <c r="Z130" s="23" t="n">
        <f aca="false">U130/$W130</f>
        <v>0.103174603174603</v>
      </c>
      <c r="AA130" s="23" t="n">
        <f aca="false">V130/$W130</f>
        <v>0.261904761904762</v>
      </c>
      <c r="AB130" s="23" t="n">
        <f aca="false">SUM(X130:AA130)</f>
        <v>1</v>
      </c>
      <c r="AC130" s="6" t="n">
        <f aca="false" t="array" ref="AC130:AC130">MMULT(MMULT(X130:AA130,$N$2:$Q$5),TRANSPOSE(X130:AA130))</f>
        <v>0.00021746794851378</v>
      </c>
      <c r="AD130" s="6" t="n">
        <f aca="false">SUMPRODUCT(X130:AA130,$E$237:$H$237)</f>
        <v>-0.000391352083356421</v>
      </c>
      <c r="AE130" s="24" t="n">
        <f aca="false">(AD130-$I$2)/SQRT(AC130)</f>
        <v>-0.05455339298809</v>
      </c>
      <c r="AF130" s="6" t="n">
        <f aca="false">AD130</f>
        <v>-0.000391352083356421</v>
      </c>
      <c r="AG130" s="6" t="n">
        <f aca="false">AC130</f>
        <v>0.00021746794851378</v>
      </c>
      <c r="AH130" s="23" t="n">
        <f aca="false">X130</f>
        <v>0.182539682539683</v>
      </c>
      <c r="AI130" s="23" t="n">
        <f aca="false">Y130</f>
        <v>0.452380952380952</v>
      </c>
      <c r="AJ130" s="23" t="n">
        <f aca="false">Z130</f>
        <v>0.103174603174603</v>
      </c>
      <c r="AK130" s="23" t="n">
        <f aca="false">AA130</f>
        <v>0.261904761904762</v>
      </c>
    </row>
    <row r="131" customFormat="false" ht="15" hidden="false" customHeight="true" outlineLevel="0" collapsed="false">
      <c r="A131" s="22" t="n">
        <f aca="false">aci!H132</f>
        <v>150.4</v>
      </c>
      <c r="B131" s="22" t="n">
        <f aca="false">apexfoot!H132</f>
        <v>240</v>
      </c>
      <c r="C131" s="22" t="n">
        <f aca="false">bxpharma!H132</f>
        <v>72.6</v>
      </c>
      <c r="D131" s="22" t="n">
        <f aca="false">batbc!H132</f>
        <v>397.8</v>
      </c>
      <c r="E131" s="6" t="n">
        <f aca="false">LN(A130/A131)</f>
        <v>-0.032435275753154</v>
      </c>
      <c r="F131" s="6" t="n">
        <f aca="false">LN(B130/B131)</f>
        <v>-0.0159600195787294</v>
      </c>
      <c r="G131" s="6" t="n">
        <f aca="false">LN(C130/C131)</f>
        <v>-0.00968865710374922</v>
      </c>
      <c r="H131" s="6" t="n">
        <f aca="false">LN(D130/D131)</f>
        <v>0.00726365122222702</v>
      </c>
      <c r="I131" s="6" t="n">
        <f aca="false">E131-$I$2</f>
        <v>-0.0328484113463743</v>
      </c>
      <c r="J131" s="6" t="n">
        <f aca="false">F131-$J$2</f>
        <v>-0.0163731551719497</v>
      </c>
      <c r="K131" s="6" t="n">
        <f aca="false">G131-$K$2</f>
        <v>-0.0101017926969696</v>
      </c>
      <c r="L131" s="6" t="n">
        <f aca="false">H131-$L$2</f>
        <v>0.00685051562900668</v>
      </c>
      <c r="S131" s="9" t="n">
        <v>0.93</v>
      </c>
      <c r="T131" s="9" t="n">
        <v>0.04</v>
      </c>
      <c r="U131" s="9" t="n">
        <v>0.05</v>
      </c>
      <c r="V131" s="9" t="n">
        <v>0.53</v>
      </c>
      <c r="W131" s="22" t="n">
        <f aca="false">SUM(S131:V131)</f>
        <v>1.55</v>
      </c>
      <c r="X131" s="23" t="n">
        <f aca="false">S131/$W131</f>
        <v>0.6</v>
      </c>
      <c r="Y131" s="23" t="n">
        <f aca="false">T131/$W131</f>
        <v>0.0258064516129032</v>
      </c>
      <c r="Z131" s="23" t="n">
        <f aca="false">U131/$W131</f>
        <v>0.032258064516129</v>
      </c>
      <c r="AA131" s="23" t="n">
        <f aca="false">V131/$W131</f>
        <v>0.341935483870968</v>
      </c>
      <c r="AB131" s="23" t="n">
        <f aca="false">SUM(X131:AA131)</f>
        <v>1</v>
      </c>
      <c r="AC131" s="6" t="n">
        <f aca="false" t="array" ref="AC131:AC131">MMULT(MMULT(X131:AA131,$N$2:$Q$5),TRANSPOSE(X131:AA131))</f>
        <v>0.000429448825266723</v>
      </c>
      <c r="AD131" s="6" t="n">
        <f aca="false">SUMPRODUCT(X131:AA131,$E$237:$H$237)</f>
        <v>0.000291413535956047</v>
      </c>
      <c r="AE131" s="24" t="n">
        <f aca="false">(AD131-$I$2)/SQRT(AC131)</f>
        <v>-0.00587372452370891</v>
      </c>
      <c r="AF131" s="6" t="n">
        <f aca="false">AD131</f>
        <v>0.000291413535956047</v>
      </c>
      <c r="AG131" s="6" t="n">
        <f aca="false">AC131</f>
        <v>0.000429448825266723</v>
      </c>
      <c r="AH131" s="23" t="n">
        <f aca="false">X131</f>
        <v>0.6</v>
      </c>
      <c r="AI131" s="23" t="n">
        <f aca="false">Y131</f>
        <v>0.0258064516129032</v>
      </c>
      <c r="AJ131" s="23" t="n">
        <f aca="false">Z131</f>
        <v>0.032258064516129</v>
      </c>
      <c r="AK131" s="23" t="n">
        <f aca="false">AA131</f>
        <v>0.341935483870968</v>
      </c>
    </row>
    <row r="132" customFormat="false" ht="15" hidden="false" customHeight="true" outlineLevel="0" collapsed="false">
      <c r="A132" s="22" t="n">
        <f aca="false">aci!H133</f>
        <v>150.8</v>
      </c>
      <c r="B132" s="22" t="n">
        <f aca="false">apexfoot!H133</f>
        <v>238.9</v>
      </c>
      <c r="C132" s="22" t="n">
        <f aca="false">bxpharma!H133</f>
        <v>74.3</v>
      </c>
      <c r="D132" s="22" t="n">
        <f aca="false">batbc!H133</f>
        <v>393.6</v>
      </c>
      <c r="E132" s="6" t="n">
        <f aca="false">LN(A131/A132)</f>
        <v>-0.0026560440581163</v>
      </c>
      <c r="F132" s="6" t="n">
        <f aca="false">LN(B131/B132)</f>
        <v>0.00459386901022748</v>
      </c>
      <c r="G132" s="6" t="n">
        <f aca="false">LN(C131/C132)</f>
        <v>-0.0231460298929631</v>
      </c>
      <c r="H132" s="6" t="n">
        <f aca="false">LN(D131/D132)</f>
        <v>0.0106142012417735</v>
      </c>
      <c r="I132" s="6" t="n">
        <f aca="false">E132-$I$2</f>
        <v>-0.00306917965133664</v>
      </c>
      <c r="J132" s="6" t="n">
        <f aca="false">F132-$J$2</f>
        <v>0.00418073341700714</v>
      </c>
      <c r="K132" s="6" t="n">
        <f aca="false">G132-$K$2</f>
        <v>-0.0235591654861835</v>
      </c>
      <c r="L132" s="6" t="n">
        <f aca="false">H132-$L$2</f>
        <v>0.0102010656485532</v>
      </c>
      <c r="S132" s="9" t="n">
        <v>0.35</v>
      </c>
      <c r="T132" s="9" t="n">
        <v>0.38</v>
      </c>
      <c r="U132" s="9" t="n">
        <v>0.22</v>
      </c>
      <c r="V132" s="9" t="n">
        <v>0.22</v>
      </c>
      <c r="W132" s="22" t="n">
        <f aca="false">SUM(S132:V132)</f>
        <v>1.17</v>
      </c>
      <c r="X132" s="23" t="n">
        <f aca="false">S132/$W132</f>
        <v>0.299145299145299</v>
      </c>
      <c r="Y132" s="23" t="n">
        <f aca="false">T132/$W132</f>
        <v>0.324786324786325</v>
      </c>
      <c r="Z132" s="23" t="n">
        <f aca="false">U132/$W132</f>
        <v>0.188034188034188</v>
      </c>
      <c r="AA132" s="23" t="n">
        <f aca="false">V132/$W132</f>
        <v>0.188034188034188</v>
      </c>
      <c r="AB132" s="23" t="n">
        <f aca="false">SUM(X132:AA132)</f>
        <v>1</v>
      </c>
      <c r="AC132" s="6" t="n">
        <f aca="false" t="array" ref="AC132:AC132">MMULT(MMULT(X132:AA132,$N$2:$Q$5),TRANSPOSE(X132:AA132))</f>
        <v>0.000239164137910343</v>
      </c>
      <c r="AD132" s="6" t="n">
        <f aca="false">SUMPRODUCT(X132:AA132,$E$237:$H$237)</f>
        <v>-0.000142218503848269</v>
      </c>
      <c r="AE132" s="24" t="n">
        <f aca="false">(AD132-$I$2)/SQRT(AC132)</f>
        <v>-0.0359105412376158</v>
      </c>
      <c r="AF132" s="6" t="n">
        <f aca="false">AD132</f>
        <v>-0.000142218503848269</v>
      </c>
      <c r="AG132" s="6" t="n">
        <f aca="false">AC132</f>
        <v>0.000239164137910343</v>
      </c>
      <c r="AH132" s="23" t="n">
        <f aca="false">X132</f>
        <v>0.299145299145299</v>
      </c>
      <c r="AI132" s="23" t="n">
        <f aca="false">Y132</f>
        <v>0.324786324786325</v>
      </c>
      <c r="AJ132" s="23" t="n">
        <f aca="false">Z132</f>
        <v>0.188034188034188</v>
      </c>
      <c r="AK132" s="23" t="n">
        <f aca="false">AA132</f>
        <v>0.188034188034188</v>
      </c>
    </row>
    <row r="133" customFormat="false" ht="15" hidden="false" customHeight="true" outlineLevel="0" collapsed="false">
      <c r="A133" s="22" t="n">
        <f aca="false">aci!H134</f>
        <v>151.2</v>
      </c>
      <c r="B133" s="22" t="n">
        <f aca="false">apexfoot!H134</f>
        <v>240.3</v>
      </c>
      <c r="C133" s="22" t="n">
        <f aca="false">bxpharma!H134</f>
        <v>73.5</v>
      </c>
      <c r="D133" s="22" t="n">
        <f aca="false">batbc!H134</f>
        <v>394.6</v>
      </c>
      <c r="E133" s="6" t="n">
        <f aca="false">LN(A132/A133)</f>
        <v>-0.00264900817157673</v>
      </c>
      <c r="F133" s="6" t="n">
        <f aca="false">LN(B132/B133)</f>
        <v>-0.00584308841065936</v>
      </c>
      <c r="G133" s="6" t="n">
        <f aca="false">LN(C132/C133)</f>
        <v>0.0108255455049225</v>
      </c>
      <c r="H133" s="6" t="n">
        <f aca="false">LN(D132/D133)</f>
        <v>-0.0025374284104166</v>
      </c>
      <c r="I133" s="6" t="n">
        <f aca="false">E133-$I$2</f>
        <v>-0.00306214376479707</v>
      </c>
      <c r="J133" s="6" t="n">
        <f aca="false">F133-$J$2</f>
        <v>-0.0062562240038797</v>
      </c>
      <c r="K133" s="6" t="n">
        <f aca="false">G133-$K$2</f>
        <v>0.0104124099117022</v>
      </c>
      <c r="L133" s="6" t="n">
        <f aca="false">H133-$L$2</f>
        <v>-0.00295056400363694</v>
      </c>
      <c r="S133" s="9" t="n">
        <v>0.47</v>
      </c>
      <c r="T133" s="9" t="n">
        <v>0.57</v>
      </c>
      <c r="U133" s="9" t="n">
        <v>0.08</v>
      </c>
      <c r="V133" s="9" t="n">
        <v>0.41</v>
      </c>
      <c r="W133" s="22" t="n">
        <f aca="false">SUM(S133:V133)</f>
        <v>1.53</v>
      </c>
      <c r="X133" s="23" t="n">
        <f aca="false">S133/$W133</f>
        <v>0.30718954248366</v>
      </c>
      <c r="Y133" s="23" t="n">
        <f aca="false">T133/$W133</f>
        <v>0.372549019607843</v>
      </c>
      <c r="Z133" s="23" t="n">
        <f aca="false">U133/$W133</f>
        <v>0.0522875816993464</v>
      </c>
      <c r="AA133" s="23" t="n">
        <f aca="false">V133/$W133</f>
        <v>0.26797385620915</v>
      </c>
      <c r="AB133" s="23" t="n">
        <f aca="false">SUM(X133:AA133)</f>
        <v>1</v>
      </c>
      <c r="AC133" s="6" t="n">
        <f aca="false" t="array" ref="AC133:AC133">MMULT(MMULT(X133:AA133,$N$2:$Q$5),TRANSPOSE(X133:AA133))</f>
        <v>0.000253008536536248</v>
      </c>
      <c r="AD133" s="6" t="n">
        <f aca="false">SUMPRODUCT(X133:AA133,$E$237:$H$237)</f>
        <v>-0.000188488062588621</v>
      </c>
      <c r="AE133" s="24" t="n">
        <f aca="false">(AD133-$I$2)/SQRT(AC133)</f>
        <v>-0.0378231170795949</v>
      </c>
      <c r="AF133" s="6" t="n">
        <f aca="false">AD133</f>
        <v>-0.000188488062588621</v>
      </c>
      <c r="AG133" s="6" t="n">
        <f aca="false">AC133</f>
        <v>0.000253008536536248</v>
      </c>
      <c r="AH133" s="23" t="n">
        <f aca="false">X133</f>
        <v>0.30718954248366</v>
      </c>
      <c r="AI133" s="23" t="n">
        <f aca="false">Y133</f>
        <v>0.372549019607843</v>
      </c>
      <c r="AJ133" s="23" t="n">
        <f aca="false">Z133</f>
        <v>0.0522875816993464</v>
      </c>
      <c r="AK133" s="23" t="n">
        <f aca="false">AA133</f>
        <v>0.26797385620915</v>
      </c>
    </row>
    <row r="134" customFormat="false" ht="15" hidden="false" customHeight="true" outlineLevel="0" collapsed="false">
      <c r="A134" s="22" t="n">
        <f aca="false">aci!H135</f>
        <v>153.5</v>
      </c>
      <c r="B134" s="22" t="n">
        <f aca="false">apexfoot!H135</f>
        <v>240.4</v>
      </c>
      <c r="C134" s="22" t="n">
        <f aca="false">bxpharma!H135</f>
        <v>74</v>
      </c>
      <c r="D134" s="22" t="n">
        <f aca="false">batbc!H135</f>
        <v>399</v>
      </c>
      <c r="E134" s="6" t="n">
        <f aca="false">LN(A133/A134)</f>
        <v>-0.0150971032818192</v>
      </c>
      <c r="F134" s="6" t="n">
        <f aca="false">LN(B133/B134)</f>
        <v>-0.000416059918629285</v>
      </c>
      <c r="G134" s="6" t="n">
        <f aca="false">LN(C133/C134)</f>
        <v>-0.0067796869853788</v>
      </c>
      <c r="H134" s="6" t="n">
        <f aca="false">LN(D133/D134)</f>
        <v>-0.0110888233013484</v>
      </c>
      <c r="I134" s="6" t="n">
        <f aca="false">E134-$I$2</f>
        <v>-0.0155102388750396</v>
      </c>
      <c r="J134" s="6" t="n">
        <f aca="false">F134-$J$2</f>
        <v>-0.000829195511849624</v>
      </c>
      <c r="K134" s="6" t="n">
        <f aca="false">G134-$K$2</f>
        <v>-0.00719282257859914</v>
      </c>
      <c r="L134" s="6" t="n">
        <f aca="false">H134-$L$2</f>
        <v>-0.0115019588945688</v>
      </c>
      <c r="S134" s="9" t="n">
        <v>0.33</v>
      </c>
      <c r="T134" s="9" t="n">
        <v>0.91</v>
      </c>
      <c r="U134" s="9" t="n">
        <v>0.08</v>
      </c>
      <c r="V134" s="9" t="n">
        <v>0.44</v>
      </c>
      <c r="W134" s="22" t="n">
        <f aca="false">SUM(S134:V134)</f>
        <v>1.76</v>
      </c>
      <c r="X134" s="23" t="n">
        <f aca="false">S134/$W134</f>
        <v>0.1875</v>
      </c>
      <c r="Y134" s="23" t="n">
        <f aca="false">T134/$W134</f>
        <v>0.517045454545455</v>
      </c>
      <c r="Z134" s="23" t="n">
        <f aca="false">U134/$W134</f>
        <v>0.0454545454545455</v>
      </c>
      <c r="AA134" s="23" t="n">
        <f aca="false">V134/$W134</f>
        <v>0.25</v>
      </c>
      <c r="AB134" s="23" t="n">
        <f aca="false">SUM(X134:AA134)</f>
        <v>1</v>
      </c>
      <c r="AC134" s="6" t="n">
        <f aca="false" t="array" ref="AC134:AC134">MMULT(MMULT(X134:AA134,$N$2:$Q$5),TRANSPOSE(X134:AA134))</f>
        <v>0.000228921150858261</v>
      </c>
      <c r="AD134" s="6" t="n">
        <f aca="false">SUMPRODUCT(X134:AA134,$E$237:$H$237)</f>
        <v>-0.000392502139213437</v>
      </c>
      <c r="AE134" s="24" t="n">
        <f aca="false">(AD134-$I$2)/SQRT(AC134)</f>
        <v>-0.0532472076945042</v>
      </c>
      <c r="AF134" s="6" t="n">
        <f aca="false">AD134</f>
        <v>-0.000392502139213437</v>
      </c>
      <c r="AG134" s="6" t="n">
        <f aca="false">AC134</f>
        <v>0.000228921150858261</v>
      </c>
      <c r="AH134" s="23" t="n">
        <f aca="false">X134</f>
        <v>0.1875</v>
      </c>
      <c r="AI134" s="23" t="n">
        <f aca="false">Y134</f>
        <v>0.517045454545455</v>
      </c>
      <c r="AJ134" s="23" t="n">
        <f aca="false">Z134</f>
        <v>0.0454545454545455</v>
      </c>
      <c r="AK134" s="23" t="n">
        <f aca="false">AA134</f>
        <v>0.25</v>
      </c>
    </row>
    <row r="135" customFormat="false" ht="15" hidden="false" customHeight="true" outlineLevel="0" collapsed="false">
      <c r="A135" s="22" t="n">
        <f aca="false">aci!H136</f>
        <v>153.9</v>
      </c>
      <c r="B135" s="22" t="n">
        <f aca="false">apexfoot!H136</f>
        <v>241.4</v>
      </c>
      <c r="C135" s="22" t="n">
        <f aca="false">bxpharma!H136</f>
        <v>73.6</v>
      </c>
      <c r="D135" s="22" t="n">
        <f aca="false">batbc!H136</f>
        <v>388.2</v>
      </c>
      <c r="E135" s="6" t="n">
        <f aca="false">LN(A134/A135)</f>
        <v>-0.0026024738175817</v>
      </c>
      <c r="F135" s="6" t="n">
        <f aca="false">LN(B134/B135)</f>
        <v>-0.00415110600237858</v>
      </c>
      <c r="G135" s="6" t="n">
        <f aca="false">LN(C134/C135)</f>
        <v>0.00542006746933933</v>
      </c>
      <c r="H135" s="6" t="n">
        <f aca="false">LN(D134/D135)</f>
        <v>0.0274407461549537</v>
      </c>
      <c r="I135" s="6" t="n">
        <f aca="false">E135-$I$2</f>
        <v>-0.00301560941080204</v>
      </c>
      <c r="J135" s="6" t="n">
        <f aca="false">F135-$J$2</f>
        <v>-0.00456424159559891</v>
      </c>
      <c r="K135" s="6" t="n">
        <f aca="false">G135-$K$2</f>
        <v>0.005006931876119</v>
      </c>
      <c r="L135" s="6" t="n">
        <f aca="false">H135-$L$2</f>
        <v>0.0270276105617333</v>
      </c>
      <c r="S135" s="9" t="n">
        <v>0.79</v>
      </c>
      <c r="T135" s="9" t="n">
        <v>0.67</v>
      </c>
      <c r="U135" s="9" t="n">
        <v>0.21</v>
      </c>
      <c r="V135" s="9" t="n">
        <v>0.65</v>
      </c>
      <c r="W135" s="22" t="n">
        <f aca="false">SUM(S135:V135)</f>
        <v>2.32</v>
      </c>
      <c r="X135" s="23" t="n">
        <f aca="false">S135/$W135</f>
        <v>0.34051724137931</v>
      </c>
      <c r="Y135" s="23" t="n">
        <f aca="false">T135/$W135</f>
        <v>0.288793103448276</v>
      </c>
      <c r="Z135" s="23" t="n">
        <f aca="false">U135/$W135</f>
        <v>0.0905172413793103</v>
      </c>
      <c r="AA135" s="23" t="n">
        <f aca="false">V135/$W135</f>
        <v>0.280172413793103</v>
      </c>
      <c r="AB135" s="23" t="n">
        <f aca="false">SUM(X135:AA135)</f>
        <v>1</v>
      </c>
      <c r="AC135" s="6" t="n">
        <f aca="false" t="array" ref="AC135:AC135">MMULT(MMULT(X135:AA135,$N$2:$Q$5),TRANSPOSE(X135:AA135))</f>
        <v>0.000261728449688876</v>
      </c>
      <c r="AD135" s="6" t="n">
        <f aca="false">SUMPRODUCT(X135:AA135,$E$237:$H$237)</f>
        <v>-0.000125413026744449</v>
      </c>
      <c r="AE135" s="24" t="n">
        <f aca="false">(AD135-$I$2)/SQRT(AC135)</f>
        <v>-0.0332889004944897</v>
      </c>
      <c r="AF135" s="6" t="n">
        <f aca="false">AD135</f>
        <v>-0.000125413026744449</v>
      </c>
      <c r="AG135" s="6" t="n">
        <f aca="false">AC135</f>
        <v>0.000261728449688876</v>
      </c>
      <c r="AH135" s="23" t="n">
        <f aca="false">X135</f>
        <v>0.34051724137931</v>
      </c>
      <c r="AI135" s="23" t="n">
        <f aca="false">Y135</f>
        <v>0.288793103448276</v>
      </c>
      <c r="AJ135" s="23" t="n">
        <f aca="false">Z135</f>
        <v>0.0905172413793103</v>
      </c>
      <c r="AK135" s="23" t="n">
        <f aca="false">AA135</f>
        <v>0.280172413793103</v>
      </c>
    </row>
    <row r="136" customFormat="false" ht="15" hidden="false" customHeight="true" outlineLevel="0" collapsed="false">
      <c r="A136" s="22" t="n">
        <f aca="false">aci!H137</f>
        <v>155.8</v>
      </c>
      <c r="B136" s="22" t="n">
        <f aca="false">apexfoot!H137</f>
        <v>241.1</v>
      </c>
      <c r="C136" s="22" t="n">
        <f aca="false">bxpharma!H137</f>
        <v>73.4</v>
      </c>
      <c r="D136" s="22" t="n">
        <f aca="false">batbc!H137</f>
        <v>390.6</v>
      </c>
      <c r="E136" s="6" t="n">
        <f aca="false">LN(A135/A136)</f>
        <v>-0.0122700925918144</v>
      </c>
      <c r="F136" s="6" t="n">
        <f aca="false">LN(B135/B136)</f>
        <v>0.00124352347630591</v>
      </c>
      <c r="G136" s="6" t="n">
        <f aca="false">LN(C135/C136)</f>
        <v>0.00272109011436059</v>
      </c>
      <c r="H136" s="6" t="n">
        <f aca="false">LN(D135/D136)</f>
        <v>-0.0061633477076688</v>
      </c>
      <c r="I136" s="6" t="n">
        <f aca="false">E136-$I$2</f>
        <v>-0.0126832281850347</v>
      </c>
      <c r="J136" s="6" t="n">
        <f aca="false">F136-$J$2</f>
        <v>0.000830387883085567</v>
      </c>
      <c r="K136" s="6" t="n">
        <f aca="false">G136-$K$2</f>
        <v>0.00230795452114025</v>
      </c>
      <c r="L136" s="6" t="n">
        <f aca="false">H136-$L$2</f>
        <v>-0.00657648330088914</v>
      </c>
      <c r="S136" s="9" t="n">
        <v>0.95</v>
      </c>
      <c r="T136" s="9" t="n">
        <v>0.35</v>
      </c>
      <c r="U136" s="9" t="n">
        <v>0.84</v>
      </c>
      <c r="V136" s="9" t="n">
        <v>0.4</v>
      </c>
      <c r="W136" s="22" t="n">
        <f aca="false">SUM(S136:V136)</f>
        <v>2.54</v>
      </c>
      <c r="X136" s="23" t="n">
        <f aca="false">S136/$W136</f>
        <v>0.374015748031496</v>
      </c>
      <c r="Y136" s="23" t="n">
        <f aca="false">T136/$W136</f>
        <v>0.137795275590551</v>
      </c>
      <c r="Z136" s="23" t="n">
        <f aca="false">U136/$W136</f>
        <v>0.330708661417323</v>
      </c>
      <c r="AA136" s="23" t="n">
        <f aca="false">V136/$W136</f>
        <v>0.15748031496063</v>
      </c>
      <c r="AB136" s="23" t="n">
        <f aca="false">SUM(X136:AA136)</f>
        <v>1</v>
      </c>
      <c r="AC136" s="6" t="n">
        <f aca="false" t="array" ref="AC136:AC136">MMULT(MMULT(X136:AA136,$N$2:$Q$5),TRANSPOSE(X136:AA136))</f>
        <v>0.000289002418607086</v>
      </c>
      <c r="AD136" s="6" t="n">
        <f aca="false">SUMPRODUCT(X136:AA136,$E$237:$H$237)</f>
        <v>3.31622026416435E-005</v>
      </c>
      <c r="AE136" s="24" t="n">
        <f aca="false">(AD136-$I$2)/SQRT(AC136)</f>
        <v>-0.0223512823889598</v>
      </c>
      <c r="AF136" s="6" t="n">
        <f aca="false">AD136</f>
        <v>3.31622026416435E-005</v>
      </c>
      <c r="AG136" s="6" t="n">
        <f aca="false">AC136</f>
        <v>0.000289002418607086</v>
      </c>
      <c r="AH136" s="23" t="n">
        <f aca="false">X136</f>
        <v>0.374015748031496</v>
      </c>
      <c r="AI136" s="23" t="n">
        <f aca="false">Y136</f>
        <v>0.137795275590551</v>
      </c>
      <c r="AJ136" s="23" t="n">
        <f aca="false">Z136</f>
        <v>0.330708661417323</v>
      </c>
      <c r="AK136" s="23" t="n">
        <f aca="false">AA136</f>
        <v>0.15748031496063</v>
      </c>
    </row>
    <row r="137" customFormat="false" ht="15" hidden="false" customHeight="true" outlineLevel="0" collapsed="false">
      <c r="A137" s="22" t="n">
        <f aca="false">aci!H138</f>
        <v>156</v>
      </c>
      <c r="B137" s="22" t="n">
        <f aca="false">apexfoot!H138</f>
        <v>243.6</v>
      </c>
      <c r="C137" s="22" t="n">
        <f aca="false">bxpharma!H138</f>
        <v>75.4</v>
      </c>
      <c r="D137" s="22" t="n">
        <f aca="false">batbc!H138</f>
        <v>391.3</v>
      </c>
      <c r="E137" s="6" t="n">
        <f aca="false">LN(A136/A137)</f>
        <v>-0.00128287381288904</v>
      </c>
      <c r="F137" s="6" t="n">
        <f aca="false">LN(B136/B137)</f>
        <v>-0.0103157506486166</v>
      </c>
      <c r="G137" s="6" t="n">
        <f aca="false">LN(C136/C137)</f>
        <v>-0.0268833393934405</v>
      </c>
      <c r="H137" s="6" t="n">
        <f aca="false">LN(D136/D137)</f>
        <v>-0.00179051077378823</v>
      </c>
      <c r="I137" s="6" t="n">
        <f aca="false">E137-$I$2</f>
        <v>-0.00169600940610938</v>
      </c>
      <c r="J137" s="6" t="n">
        <f aca="false">F137-$J$2</f>
        <v>-0.0107288862418369</v>
      </c>
      <c r="K137" s="6" t="n">
        <f aca="false">G137-$K$2</f>
        <v>-0.0272964749866609</v>
      </c>
      <c r="L137" s="6" t="n">
        <f aca="false">H137-$L$2</f>
        <v>-0.00220364636700857</v>
      </c>
      <c r="S137" s="9" t="n">
        <v>0.92</v>
      </c>
      <c r="T137" s="9" t="n">
        <v>0.42</v>
      </c>
      <c r="U137" s="9" t="n">
        <v>0.92</v>
      </c>
      <c r="V137" s="9" t="n">
        <v>0.04</v>
      </c>
      <c r="W137" s="22" t="n">
        <f aca="false">SUM(S137:V137)</f>
        <v>2.3</v>
      </c>
      <c r="X137" s="23" t="n">
        <f aca="false">S137/$W137</f>
        <v>0.4</v>
      </c>
      <c r="Y137" s="23" t="n">
        <f aca="false">T137/$W137</f>
        <v>0.182608695652174</v>
      </c>
      <c r="Z137" s="23" t="n">
        <f aca="false">U137/$W137</f>
        <v>0.4</v>
      </c>
      <c r="AA137" s="23" t="n">
        <f aca="false">V137/$W137</f>
        <v>0.0173913043478261</v>
      </c>
      <c r="AB137" s="23" t="n">
        <f aca="false">SUM(X137:AA137)</f>
        <v>1</v>
      </c>
      <c r="AC137" s="6" t="n">
        <f aca="false" t="array" ref="AC137:AC137">MMULT(MMULT(X137:AA137,$N$2:$Q$5),TRANSPOSE(X137:AA137))</f>
        <v>0.000312690997550866</v>
      </c>
      <c r="AD137" s="6" t="n">
        <f aca="false">SUMPRODUCT(X137:AA137,$E$237:$H$237)</f>
        <v>0.00014348345806856</v>
      </c>
      <c r="AE137" s="24" t="n">
        <f aca="false">(AD137-$I$2)/SQRT(AC137)</f>
        <v>-0.0152491688917572</v>
      </c>
      <c r="AF137" s="6" t="n">
        <f aca="false">AD137</f>
        <v>0.00014348345806856</v>
      </c>
      <c r="AG137" s="6" t="n">
        <f aca="false">AC137</f>
        <v>0.000312690997550866</v>
      </c>
      <c r="AH137" s="23" t="n">
        <f aca="false">X137</f>
        <v>0.4</v>
      </c>
      <c r="AI137" s="23" t="n">
        <f aca="false">Y137</f>
        <v>0.182608695652174</v>
      </c>
      <c r="AJ137" s="23" t="n">
        <f aca="false">Z137</f>
        <v>0.4</v>
      </c>
      <c r="AK137" s="23" t="n">
        <f aca="false">AA137</f>
        <v>0.0173913043478261</v>
      </c>
    </row>
    <row r="138" customFormat="false" ht="15" hidden="false" customHeight="true" outlineLevel="0" collapsed="false">
      <c r="A138" s="22" t="n">
        <f aca="false">aci!H139</f>
        <v>155.1</v>
      </c>
      <c r="B138" s="22" t="n">
        <f aca="false">apexfoot!H139</f>
        <v>245.6</v>
      </c>
      <c r="C138" s="22" t="n">
        <f aca="false">bxpharma!H139</f>
        <v>76.5</v>
      </c>
      <c r="D138" s="22" t="n">
        <f aca="false">batbc!H139</f>
        <v>398.8</v>
      </c>
      <c r="E138" s="6" t="n">
        <f aca="false">LN(A137/A138)</f>
        <v>0.00578593706704393</v>
      </c>
      <c r="F138" s="6" t="n">
        <f aca="false">LN(B137/B138)</f>
        <v>-0.00817666043724544</v>
      </c>
      <c r="G138" s="6" t="n">
        <f aca="false">LN(C137/C138)</f>
        <v>-0.0144834658185797</v>
      </c>
      <c r="H138" s="6" t="n">
        <f aca="false">LN(D137/D138)</f>
        <v>-0.0189855088713164</v>
      </c>
      <c r="I138" s="6" t="n">
        <f aca="false">E138-$I$2</f>
        <v>0.00537280147382359</v>
      </c>
      <c r="J138" s="6" t="n">
        <f aca="false">F138-$J$2</f>
        <v>-0.00858979603046578</v>
      </c>
      <c r="K138" s="6" t="n">
        <f aca="false">G138-$K$2</f>
        <v>-0.0148966014118001</v>
      </c>
      <c r="L138" s="6" t="n">
        <f aca="false">H138-$L$2</f>
        <v>-0.0193986444645368</v>
      </c>
      <c r="S138" s="9" t="n">
        <v>0.07</v>
      </c>
      <c r="T138" s="9" t="n">
        <v>0.08</v>
      </c>
      <c r="U138" s="9" t="n">
        <v>0.83</v>
      </c>
      <c r="V138" s="9" t="n">
        <v>0.26</v>
      </c>
      <c r="W138" s="22" t="n">
        <f aca="false">SUM(S138:V138)</f>
        <v>1.24</v>
      </c>
      <c r="X138" s="23" t="n">
        <f aca="false">S138/$W138</f>
        <v>0.0564516129032258</v>
      </c>
      <c r="Y138" s="23" t="n">
        <f aca="false">T138/$W138</f>
        <v>0.0645161290322581</v>
      </c>
      <c r="Z138" s="23" t="n">
        <f aca="false">U138/$W138</f>
        <v>0.669354838709677</v>
      </c>
      <c r="AA138" s="23" t="n">
        <f aca="false">V138/$W138</f>
        <v>0.209677419354839</v>
      </c>
      <c r="AB138" s="23" t="n">
        <f aca="false">SUM(X138:AA138)</f>
        <v>1</v>
      </c>
      <c r="AC138" s="6" t="n">
        <f aca="false" t="array" ref="AC138:AC138">MMULT(MMULT(X138:AA138,$N$2:$Q$5),TRANSPOSE(X138:AA138))</f>
        <v>0.000321031426704063</v>
      </c>
      <c r="AD138" s="6" t="n">
        <f aca="false">SUMPRODUCT(X138:AA138,$E$237:$H$237)</f>
        <v>-0.000456674396442382</v>
      </c>
      <c r="AE138" s="24" t="n">
        <f aca="false">(AD138-$I$2)/SQRT(AC138)</f>
        <v>-0.0485456831235064</v>
      </c>
      <c r="AF138" s="6" t="n">
        <f aca="false">AD138</f>
        <v>-0.000456674396442382</v>
      </c>
      <c r="AG138" s="6" t="n">
        <f aca="false">AC138</f>
        <v>0.000321031426704063</v>
      </c>
      <c r="AH138" s="23" t="n">
        <f aca="false">X138</f>
        <v>0.0564516129032258</v>
      </c>
      <c r="AI138" s="23" t="n">
        <f aca="false">Y138</f>
        <v>0.0645161290322581</v>
      </c>
      <c r="AJ138" s="23" t="n">
        <f aca="false">Z138</f>
        <v>0.669354838709677</v>
      </c>
      <c r="AK138" s="23" t="n">
        <f aca="false">AA138</f>
        <v>0.209677419354839</v>
      </c>
    </row>
    <row r="139" customFormat="false" ht="15" hidden="false" customHeight="true" outlineLevel="0" collapsed="false">
      <c r="A139" s="22" t="n">
        <f aca="false">aci!H140</f>
        <v>153.2</v>
      </c>
      <c r="B139" s="22" t="n">
        <f aca="false">apexfoot!H140</f>
        <v>237</v>
      </c>
      <c r="C139" s="22" t="n">
        <f aca="false">bxpharma!H140</f>
        <v>75.3</v>
      </c>
      <c r="D139" s="22" t="n">
        <f aca="false">batbc!H140</f>
        <v>399.8</v>
      </c>
      <c r="E139" s="6" t="n">
        <f aca="false">LN(A138/A139)</f>
        <v>0.0123258128760022</v>
      </c>
      <c r="F139" s="6" t="n">
        <f aca="false">LN(B138/B139)</f>
        <v>0.0356440551378563</v>
      </c>
      <c r="G139" s="6" t="n">
        <f aca="false">LN(C138/C139)</f>
        <v>0.0158106060266422</v>
      </c>
      <c r="H139" s="6" t="n">
        <f aca="false">LN(D138/D139)</f>
        <v>-0.00250438397861647</v>
      </c>
      <c r="I139" s="6" t="n">
        <f aca="false">E139-$I$2</f>
        <v>0.0119126772827819</v>
      </c>
      <c r="J139" s="6" t="n">
        <f aca="false">F139-$J$2</f>
        <v>0.0352309195446359</v>
      </c>
      <c r="K139" s="6" t="n">
        <f aca="false">G139-$K$2</f>
        <v>0.0153974704334219</v>
      </c>
      <c r="L139" s="6" t="n">
        <f aca="false">H139-$L$2</f>
        <v>-0.00291751957183681</v>
      </c>
      <c r="S139" s="9" t="n">
        <v>0.83</v>
      </c>
      <c r="T139" s="9" t="n">
        <v>0.28</v>
      </c>
      <c r="U139" s="9" t="n">
        <v>0.46</v>
      </c>
      <c r="V139" s="9" t="n">
        <v>0.49</v>
      </c>
      <c r="W139" s="22" t="n">
        <f aca="false">SUM(S139:V139)</f>
        <v>2.06</v>
      </c>
      <c r="X139" s="23" t="n">
        <f aca="false">S139/$W139</f>
        <v>0.402912621359223</v>
      </c>
      <c r="Y139" s="23" t="n">
        <f aca="false">T139/$W139</f>
        <v>0.135922330097087</v>
      </c>
      <c r="Z139" s="23" t="n">
        <f aca="false">U139/$W139</f>
        <v>0.223300970873786</v>
      </c>
      <c r="AA139" s="23" t="n">
        <f aca="false">V139/$W139</f>
        <v>0.237864077669903</v>
      </c>
      <c r="AB139" s="23" t="n">
        <f aca="false">SUM(X139:AA139)</f>
        <v>1</v>
      </c>
      <c r="AC139" s="6" t="n">
        <f aca="false" t="array" ref="AC139:AC139">MMULT(MMULT(X139:AA139,$N$2:$Q$5),TRANSPOSE(X139:AA139))</f>
        <v>0.00029177059072594</v>
      </c>
      <c r="AD139" s="6" t="n">
        <f aca="false">SUMPRODUCT(X139:AA139,$E$237:$H$237)</f>
        <v>2.99031860615674E-005</v>
      </c>
      <c r="AE139" s="24" t="n">
        <f aca="false">(AD139-$I$2)/SQRT(AC139)</f>
        <v>-0.022435795341121</v>
      </c>
      <c r="AF139" s="6" t="n">
        <f aca="false">AD139</f>
        <v>2.99031860615674E-005</v>
      </c>
      <c r="AG139" s="6" t="n">
        <f aca="false">AC139</f>
        <v>0.00029177059072594</v>
      </c>
      <c r="AH139" s="23" t="n">
        <f aca="false">X139</f>
        <v>0.402912621359223</v>
      </c>
      <c r="AI139" s="23" t="n">
        <f aca="false">Y139</f>
        <v>0.135922330097087</v>
      </c>
      <c r="AJ139" s="23" t="n">
        <f aca="false">Z139</f>
        <v>0.223300970873786</v>
      </c>
      <c r="AK139" s="23" t="n">
        <f aca="false">AA139</f>
        <v>0.237864077669903</v>
      </c>
    </row>
    <row r="140" customFormat="false" ht="15" hidden="false" customHeight="true" outlineLevel="0" collapsed="false">
      <c r="A140" s="22" t="n">
        <f aca="false">aci!H141</f>
        <v>153.7</v>
      </c>
      <c r="B140" s="22" t="n">
        <f aca="false">apexfoot!H141</f>
        <v>235.7</v>
      </c>
      <c r="C140" s="22" t="n">
        <f aca="false">bxpharma!H141</f>
        <v>74.9</v>
      </c>
      <c r="D140" s="22" t="n">
        <f aca="false">batbc!H141</f>
        <v>401</v>
      </c>
      <c r="E140" s="6" t="n">
        <f aca="false">LN(A139/A140)</f>
        <v>-0.00325839323805929</v>
      </c>
      <c r="F140" s="6" t="n">
        <f aca="false">LN(B139/B140)</f>
        <v>0.0055003311930458</v>
      </c>
      <c r="G140" s="6" t="n">
        <f aca="false">LN(C139/C140)</f>
        <v>0.00532624428267394</v>
      </c>
      <c r="H140" s="6" t="n">
        <f aca="false">LN(D139/D140)</f>
        <v>-0.00299700524026951</v>
      </c>
      <c r="I140" s="6" t="n">
        <f aca="false">E140-$I$2</f>
        <v>-0.00367152883127963</v>
      </c>
      <c r="J140" s="6" t="n">
        <f aca="false">F140-$J$2</f>
        <v>0.00508719559982546</v>
      </c>
      <c r="K140" s="6" t="n">
        <f aca="false">G140-$K$2</f>
        <v>0.0049131086894536</v>
      </c>
      <c r="L140" s="6" t="n">
        <f aca="false">H140-$L$2</f>
        <v>-0.00341014083348985</v>
      </c>
      <c r="S140" s="9" t="n">
        <v>0.85</v>
      </c>
      <c r="T140" s="9" t="n">
        <v>0.05</v>
      </c>
      <c r="U140" s="9" t="n">
        <v>0.68</v>
      </c>
      <c r="V140" s="9" t="n">
        <v>0.25</v>
      </c>
      <c r="W140" s="22" t="n">
        <f aca="false">SUM(S140:V140)</f>
        <v>1.83</v>
      </c>
      <c r="X140" s="23" t="n">
        <f aca="false">S140/$W140</f>
        <v>0.46448087431694</v>
      </c>
      <c r="Y140" s="23" t="n">
        <f aca="false">T140/$W140</f>
        <v>0.0273224043715847</v>
      </c>
      <c r="Z140" s="23" t="n">
        <f aca="false">U140/$W140</f>
        <v>0.371584699453552</v>
      </c>
      <c r="AA140" s="23" t="n">
        <f aca="false">V140/$W140</f>
        <v>0.136612021857923</v>
      </c>
      <c r="AB140" s="23" t="n">
        <f aca="false">SUM(X140:AA140)</f>
        <v>1</v>
      </c>
      <c r="AC140" s="6" t="n">
        <f aca="false" t="array" ref="AC140:AC140">MMULT(MMULT(X140:AA140,$N$2:$Q$5),TRANSPOSE(X140:AA140))</f>
        <v>0.000352059364395537</v>
      </c>
      <c r="AD140" s="6" t="n">
        <f aca="false">SUMPRODUCT(X140:AA140,$E$237:$H$237)</f>
        <v>0.000207855581436933</v>
      </c>
      <c r="AE140" s="24" t="n">
        <f aca="false">(AD140-$I$2)/SQRT(AC140)</f>
        <v>-0.0109405388756661</v>
      </c>
      <c r="AF140" s="6" t="n">
        <f aca="false">AD140</f>
        <v>0.000207855581436933</v>
      </c>
      <c r="AG140" s="6" t="n">
        <f aca="false">AC140</f>
        <v>0.000352059364395537</v>
      </c>
      <c r="AH140" s="23" t="n">
        <f aca="false">X140</f>
        <v>0.46448087431694</v>
      </c>
      <c r="AI140" s="23" t="n">
        <f aca="false">Y140</f>
        <v>0.0273224043715847</v>
      </c>
      <c r="AJ140" s="23" t="n">
        <f aca="false">Z140</f>
        <v>0.371584699453552</v>
      </c>
      <c r="AK140" s="23" t="n">
        <f aca="false">AA140</f>
        <v>0.136612021857923</v>
      </c>
    </row>
    <row r="141" customFormat="false" ht="15" hidden="false" customHeight="true" outlineLevel="0" collapsed="false">
      <c r="A141" s="22" t="n">
        <f aca="false">aci!H142</f>
        <v>156.3</v>
      </c>
      <c r="B141" s="22" t="n">
        <f aca="false">apexfoot!H142</f>
        <v>232.8</v>
      </c>
      <c r="C141" s="22" t="n">
        <f aca="false">bxpharma!H142</f>
        <v>74.1</v>
      </c>
      <c r="D141" s="22" t="n">
        <f aca="false">batbc!H142</f>
        <v>399.6</v>
      </c>
      <c r="E141" s="6" t="n">
        <f aca="false">LN(A140/A141)</f>
        <v>-0.0167745868828809</v>
      </c>
      <c r="F141" s="6" t="n">
        <f aca="false">LN(B140/B141)</f>
        <v>0.0123800940848026</v>
      </c>
      <c r="G141" s="6" t="n">
        <f aca="false">LN(C140/C141)</f>
        <v>0.0107383582211327</v>
      </c>
      <c r="H141" s="6" t="n">
        <f aca="false">LN(D140/D141)</f>
        <v>0.0034973805321706</v>
      </c>
      <c r="I141" s="6" t="n">
        <f aca="false">E141-$I$2</f>
        <v>-0.0171877224761012</v>
      </c>
      <c r="J141" s="6" t="n">
        <f aca="false">F141-$J$2</f>
        <v>0.0119669584915823</v>
      </c>
      <c r="K141" s="6" t="n">
        <f aca="false">G141-$K$2</f>
        <v>0.0103252226279124</v>
      </c>
      <c r="L141" s="6" t="n">
        <f aca="false">H141-$L$2</f>
        <v>0.00308424493895026</v>
      </c>
      <c r="S141" s="9" t="n">
        <v>0.52</v>
      </c>
      <c r="T141" s="9" t="n">
        <v>1</v>
      </c>
      <c r="U141" s="9" t="n">
        <v>0.56</v>
      </c>
      <c r="V141" s="9" t="n">
        <v>0.39</v>
      </c>
      <c r="W141" s="22" t="n">
        <f aca="false">SUM(S141:V141)</f>
        <v>2.47</v>
      </c>
      <c r="X141" s="23" t="n">
        <f aca="false">S141/$W141</f>
        <v>0.210526315789474</v>
      </c>
      <c r="Y141" s="23" t="n">
        <f aca="false">T141/$W141</f>
        <v>0.404858299595142</v>
      </c>
      <c r="Z141" s="23" t="n">
        <f aca="false">U141/$W141</f>
        <v>0.226720647773279</v>
      </c>
      <c r="AA141" s="23" t="n">
        <f aca="false">V141/$W141</f>
        <v>0.157894736842105</v>
      </c>
      <c r="AB141" s="23" t="n">
        <f aca="false">SUM(X141:AA141)</f>
        <v>1</v>
      </c>
      <c r="AC141" s="6" t="n">
        <f aca="false" t="array" ref="AC141:AC141">MMULT(MMULT(X141:AA141,$N$2:$Q$5),TRANSPOSE(X141:AA141))</f>
        <v>0.000216869201143062</v>
      </c>
      <c r="AD141" s="6" t="n">
        <f aca="false">SUMPRODUCT(X141:AA141,$E$237:$H$237)</f>
        <v>-0.000276925817968971</v>
      </c>
      <c r="AE141" s="24" t="n">
        <f aca="false">(AD141-$I$2)/SQRT(AC141)</f>
        <v>-0.0468585453113147</v>
      </c>
      <c r="AF141" s="6" t="n">
        <f aca="false">AD141</f>
        <v>-0.000276925817968971</v>
      </c>
      <c r="AG141" s="6" t="n">
        <f aca="false">AC141</f>
        <v>0.000216869201143062</v>
      </c>
      <c r="AH141" s="23" t="n">
        <f aca="false">X141</f>
        <v>0.210526315789474</v>
      </c>
      <c r="AI141" s="23" t="n">
        <f aca="false">Y141</f>
        <v>0.404858299595142</v>
      </c>
      <c r="AJ141" s="23" t="n">
        <f aca="false">Z141</f>
        <v>0.226720647773279</v>
      </c>
      <c r="AK141" s="23" t="n">
        <f aca="false">AA141</f>
        <v>0.157894736842105</v>
      </c>
    </row>
    <row r="142" customFormat="false" ht="15" hidden="false" customHeight="true" outlineLevel="0" collapsed="false">
      <c r="A142" s="22" t="n">
        <f aca="false">aci!H143</f>
        <v>159.3</v>
      </c>
      <c r="B142" s="22" t="n">
        <f aca="false">apexfoot!H143</f>
        <v>236.2</v>
      </c>
      <c r="C142" s="22" t="n">
        <f aca="false">bxpharma!H143</f>
        <v>77.8</v>
      </c>
      <c r="D142" s="22" t="n">
        <f aca="false">batbc!H143</f>
        <v>405.3</v>
      </c>
      <c r="E142" s="6" t="n">
        <f aca="false">LN(A141/A142)</f>
        <v>-0.0190119794885719</v>
      </c>
      <c r="F142" s="6" t="n">
        <f aca="false">LN(B141/B142)</f>
        <v>-0.0144991879059791</v>
      </c>
      <c r="G142" s="6" t="n">
        <f aca="false">LN(C141/C142)</f>
        <v>-0.0487258988823048</v>
      </c>
      <c r="H142" s="6" t="n">
        <f aca="false">LN(D141/D142)</f>
        <v>-0.0141634868598644</v>
      </c>
      <c r="I142" s="6" t="n">
        <f aca="false">E142-$I$2</f>
        <v>-0.0194251150817922</v>
      </c>
      <c r="J142" s="6" t="n">
        <f aca="false">F142-$J$2</f>
        <v>-0.0149123234991994</v>
      </c>
      <c r="K142" s="6" t="n">
        <f aca="false">G142-$K$2</f>
        <v>-0.0491390344755251</v>
      </c>
      <c r="L142" s="6" t="n">
        <f aca="false">H142-$L$2</f>
        <v>-0.0145766224530848</v>
      </c>
      <c r="S142" s="9" t="n">
        <v>0.26</v>
      </c>
      <c r="T142" s="9" t="n">
        <v>0.24</v>
      </c>
      <c r="U142" s="9" t="n">
        <v>0.76</v>
      </c>
      <c r="V142" s="9" t="n">
        <v>0.91</v>
      </c>
      <c r="W142" s="22" t="n">
        <f aca="false">SUM(S142:V142)</f>
        <v>2.17</v>
      </c>
      <c r="X142" s="23" t="n">
        <f aca="false">S142/$W142</f>
        <v>0.119815668202765</v>
      </c>
      <c r="Y142" s="23" t="n">
        <f aca="false">T142/$W142</f>
        <v>0.110599078341014</v>
      </c>
      <c r="Z142" s="23" t="n">
        <f aca="false">U142/$W142</f>
        <v>0.350230414746544</v>
      </c>
      <c r="AA142" s="23" t="n">
        <f aca="false">V142/$W142</f>
        <v>0.419354838709677</v>
      </c>
      <c r="AB142" s="23" t="n">
        <f aca="false">SUM(X142:AA142)</f>
        <v>1</v>
      </c>
      <c r="AC142" s="6" t="n">
        <f aca="false" t="array" ref="AC142:AC142">MMULT(MMULT(X142:AA142,$N$2:$Q$5),TRANSPOSE(X142:AA142))</f>
        <v>0.000227165217247348</v>
      </c>
      <c r="AD142" s="6" t="n">
        <f aca="false">SUMPRODUCT(X142:AA142,$E$237:$H$237)</f>
        <v>-0.000495491076904738</v>
      </c>
      <c r="AE142" s="24" t="n">
        <f aca="false">(AD142-$I$2)/SQRT(AC142)</f>
        <v>-0.0602857353790393</v>
      </c>
      <c r="AF142" s="6" t="n">
        <f aca="false">AD142</f>
        <v>-0.000495491076904738</v>
      </c>
      <c r="AG142" s="6" t="n">
        <f aca="false">AC142</f>
        <v>0.000227165217247348</v>
      </c>
      <c r="AH142" s="23" t="n">
        <f aca="false">X142</f>
        <v>0.119815668202765</v>
      </c>
      <c r="AI142" s="23" t="n">
        <f aca="false">Y142</f>
        <v>0.110599078341014</v>
      </c>
      <c r="AJ142" s="23" t="n">
        <f aca="false">Z142</f>
        <v>0.350230414746544</v>
      </c>
      <c r="AK142" s="23" t="n">
        <f aca="false">AA142</f>
        <v>0.419354838709677</v>
      </c>
    </row>
    <row r="143" customFormat="false" ht="15" hidden="false" customHeight="true" outlineLevel="0" collapsed="false">
      <c r="A143" s="22" t="n">
        <f aca="false">aci!H144</f>
        <v>154.7</v>
      </c>
      <c r="B143" s="22" t="n">
        <f aca="false">apexfoot!H144</f>
        <v>236.1</v>
      </c>
      <c r="C143" s="22" t="n">
        <f aca="false">bxpharma!H144</f>
        <v>76.5</v>
      </c>
      <c r="D143" s="22" t="n">
        <f aca="false">batbc!H144</f>
        <v>411.8</v>
      </c>
      <c r="E143" s="6" t="n">
        <f aca="false">LN(A142/A143)</f>
        <v>0.0293014593369825</v>
      </c>
      <c r="F143" s="6" t="n">
        <f aca="false">LN(B142/B143)</f>
        <v>0.000423459671794709</v>
      </c>
      <c r="G143" s="6" t="n">
        <f aca="false">LN(C142/C143)</f>
        <v>0.0168506903518557</v>
      </c>
      <c r="H143" s="6" t="n">
        <f aca="false">LN(D142/D143)</f>
        <v>-0.0159102609594263</v>
      </c>
      <c r="I143" s="6" t="n">
        <f aca="false">E143-$I$2</f>
        <v>0.0288883237437622</v>
      </c>
      <c r="J143" s="6" t="n">
        <f aca="false">F143-$J$2</f>
        <v>1.03240785743698E-005</v>
      </c>
      <c r="K143" s="6" t="n">
        <f aca="false">G143-$K$2</f>
        <v>0.0164375547586354</v>
      </c>
      <c r="L143" s="6" t="n">
        <f aca="false">H143-$L$2</f>
        <v>-0.0163233965526466</v>
      </c>
      <c r="S143" s="9" t="n">
        <v>0.72</v>
      </c>
      <c r="T143" s="9" t="n">
        <v>0.17</v>
      </c>
      <c r="U143" s="9" t="n">
        <v>0.85</v>
      </c>
      <c r="V143" s="9" t="n">
        <v>0.9</v>
      </c>
      <c r="W143" s="22" t="n">
        <f aca="false">SUM(S143:V143)</f>
        <v>2.64</v>
      </c>
      <c r="X143" s="23" t="n">
        <f aca="false">S143/$W143</f>
        <v>0.272727272727273</v>
      </c>
      <c r="Y143" s="23" t="n">
        <f aca="false">T143/$W143</f>
        <v>0.0643939393939394</v>
      </c>
      <c r="Z143" s="23" t="n">
        <f aca="false">U143/$W143</f>
        <v>0.321969696969697</v>
      </c>
      <c r="AA143" s="23" t="n">
        <f aca="false">V143/$W143</f>
        <v>0.340909090909091</v>
      </c>
      <c r="AB143" s="23" t="n">
        <f aca="false">SUM(X143:AA143)</f>
        <v>1</v>
      </c>
      <c r="AC143" s="6" t="n">
        <f aca="false" t="array" ref="AC143:AC143">MMULT(MMULT(X143:AA143,$N$2:$Q$5),TRANSPOSE(X143:AA143))</f>
        <v>0.000263541905657731</v>
      </c>
      <c r="AD143" s="6" t="n">
        <f aca="false">SUMPRODUCT(X143:AA143,$E$237:$H$237)</f>
        <v>-0.000208758183910304</v>
      </c>
      <c r="AE143" s="24" t="n">
        <f aca="false">(AD143-$I$2)/SQRT(AC143)</f>
        <v>-0.0383081668368026</v>
      </c>
      <c r="AF143" s="6" t="n">
        <f aca="false">AD143</f>
        <v>-0.000208758183910304</v>
      </c>
      <c r="AG143" s="6" t="n">
        <f aca="false">AC143</f>
        <v>0.000263541905657731</v>
      </c>
      <c r="AH143" s="23" t="n">
        <f aca="false">X143</f>
        <v>0.272727272727273</v>
      </c>
      <c r="AI143" s="23" t="n">
        <f aca="false">Y143</f>
        <v>0.0643939393939394</v>
      </c>
      <c r="AJ143" s="23" t="n">
        <f aca="false">Z143</f>
        <v>0.321969696969697</v>
      </c>
      <c r="AK143" s="23" t="n">
        <f aca="false">AA143</f>
        <v>0.340909090909091</v>
      </c>
    </row>
    <row r="144" customFormat="false" ht="15" hidden="false" customHeight="true" outlineLevel="0" collapsed="false">
      <c r="A144" s="22" t="n">
        <f aca="false">aci!H145</f>
        <v>156.8</v>
      </c>
      <c r="B144" s="22" t="n">
        <f aca="false">apexfoot!H145</f>
        <v>238.2</v>
      </c>
      <c r="C144" s="22" t="n">
        <f aca="false">bxpharma!H145</f>
        <v>73.3</v>
      </c>
      <c r="D144" s="22" t="n">
        <f aca="false">batbc!H145</f>
        <v>416.1</v>
      </c>
      <c r="E144" s="6" t="n">
        <f aca="false">LN(A143/A144)</f>
        <v>-0.0134833503372872</v>
      </c>
      <c r="F144" s="6" t="n">
        <f aca="false">LN(B143/B144)</f>
        <v>-0.00885521282973244</v>
      </c>
      <c r="G144" s="6" t="n">
        <f aca="false">LN(C143/C144)</f>
        <v>0.0427301319398844</v>
      </c>
      <c r="H144" s="6" t="n">
        <f aca="false">LN(D143/D144)</f>
        <v>-0.0103878213952066</v>
      </c>
      <c r="I144" s="6" t="n">
        <f aca="false">E144-$I$2</f>
        <v>-0.0138964859305076</v>
      </c>
      <c r="J144" s="6" t="n">
        <f aca="false">F144-$J$2</f>
        <v>-0.00926834842295278</v>
      </c>
      <c r="K144" s="6" t="n">
        <f aca="false">G144-$K$2</f>
        <v>0.0423169963466641</v>
      </c>
      <c r="L144" s="6" t="n">
        <f aca="false">H144-$L$2</f>
        <v>-0.0108009569884269</v>
      </c>
      <c r="S144" s="9" t="n">
        <v>0.82</v>
      </c>
      <c r="T144" s="9" t="n">
        <v>0.73</v>
      </c>
      <c r="U144" s="9" t="n">
        <v>0.24</v>
      </c>
      <c r="V144" s="9" t="n">
        <v>0.07</v>
      </c>
      <c r="W144" s="22" t="n">
        <f aca="false">SUM(S144:V144)</f>
        <v>1.86</v>
      </c>
      <c r="X144" s="23" t="n">
        <f aca="false">S144/$W144</f>
        <v>0.440860215053763</v>
      </c>
      <c r="Y144" s="23" t="n">
        <f aca="false">T144/$W144</f>
        <v>0.39247311827957</v>
      </c>
      <c r="Z144" s="23" t="n">
        <f aca="false">U144/$W144</f>
        <v>0.129032258064516</v>
      </c>
      <c r="AA144" s="23" t="n">
        <f aca="false">V144/$W144</f>
        <v>0.0376344086021505</v>
      </c>
      <c r="AB144" s="23" t="n">
        <f aca="false">SUM(X144:AA144)</f>
        <v>1</v>
      </c>
      <c r="AC144" s="6" t="n">
        <f aca="false" t="array" ref="AC144:AC144">MMULT(MMULT(X144:AA144,$N$2:$Q$5),TRANSPOSE(X144:AA144))</f>
        <v>0.000291166415240292</v>
      </c>
      <c r="AD144" s="6" t="n">
        <f aca="false">SUMPRODUCT(X144:AA144,$E$237:$H$237)</f>
        <v>0.000142433003916648</v>
      </c>
      <c r="AE144" s="24" t="n">
        <f aca="false">(AD144-$I$2)/SQRT(AC144)</f>
        <v>-0.0158643312735391</v>
      </c>
      <c r="AF144" s="6" t="n">
        <f aca="false">AD144</f>
        <v>0.000142433003916648</v>
      </c>
      <c r="AG144" s="6" t="n">
        <f aca="false">AC144</f>
        <v>0.000291166415240292</v>
      </c>
      <c r="AH144" s="23" t="n">
        <f aca="false">X144</f>
        <v>0.440860215053763</v>
      </c>
      <c r="AI144" s="23" t="n">
        <f aca="false">Y144</f>
        <v>0.39247311827957</v>
      </c>
      <c r="AJ144" s="23" t="n">
        <f aca="false">Z144</f>
        <v>0.129032258064516</v>
      </c>
      <c r="AK144" s="23" t="n">
        <f aca="false">AA144</f>
        <v>0.0376344086021505</v>
      </c>
    </row>
    <row r="145" customFormat="false" ht="15" hidden="false" customHeight="true" outlineLevel="0" collapsed="false">
      <c r="A145" s="22" t="n">
        <f aca="false">aci!H146</f>
        <v>161.6</v>
      </c>
      <c r="B145" s="22" t="n">
        <f aca="false">apexfoot!H146</f>
        <v>238.7</v>
      </c>
      <c r="C145" s="22" t="n">
        <f aca="false">bxpharma!H146</f>
        <v>72.8</v>
      </c>
      <c r="D145" s="22" t="n">
        <f aca="false">batbc!H146</f>
        <v>418.6</v>
      </c>
      <c r="E145" s="6" t="n">
        <f aca="false">LN(A144/A145)</f>
        <v>-0.0301530381706874</v>
      </c>
      <c r="F145" s="6" t="n">
        <f aca="false">LN(B144/B145)</f>
        <v>-0.00209687642358463</v>
      </c>
      <c r="G145" s="6" t="n">
        <f aca="false">LN(C144/C145)</f>
        <v>0.0068446536899655</v>
      </c>
      <c r="H145" s="6" t="n">
        <f aca="false">LN(D144/D145)</f>
        <v>-0.00599019402300373</v>
      </c>
      <c r="I145" s="6" t="n">
        <f aca="false">E145-$I$2</f>
        <v>-0.0305661737639078</v>
      </c>
      <c r="J145" s="6" t="n">
        <f aca="false">F145-$J$2</f>
        <v>-0.00251001201680497</v>
      </c>
      <c r="K145" s="6" t="n">
        <f aca="false">G145-$K$2</f>
        <v>0.00643151809674516</v>
      </c>
      <c r="L145" s="6" t="n">
        <f aca="false">H145-$L$2</f>
        <v>-0.00640332961622406</v>
      </c>
      <c r="S145" s="9" t="n">
        <v>0.07</v>
      </c>
      <c r="T145" s="9" t="n">
        <v>0.37</v>
      </c>
      <c r="U145" s="9" t="n">
        <v>0.62</v>
      </c>
      <c r="V145" s="9" t="n">
        <v>0.97</v>
      </c>
      <c r="W145" s="22" t="n">
        <f aca="false">SUM(S145:V145)</f>
        <v>2.03</v>
      </c>
      <c r="X145" s="23" t="n">
        <f aca="false">S145/$W145</f>
        <v>0.0344827586206897</v>
      </c>
      <c r="Y145" s="23" t="n">
        <f aca="false">T145/$W145</f>
        <v>0.182266009852217</v>
      </c>
      <c r="Z145" s="23" t="n">
        <f aca="false">U145/$W145</f>
        <v>0.305418719211823</v>
      </c>
      <c r="AA145" s="23" t="n">
        <f aca="false">V145/$W145</f>
        <v>0.477832512315271</v>
      </c>
      <c r="AB145" s="23" t="n">
        <f aca="false">SUM(X145:AA145)</f>
        <v>1</v>
      </c>
      <c r="AC145" s="6" t="n">
        <f aca="false" t="array" ref="AC145:AC145">MMULT(MMULT(X145:AA145,$N$2:$Q$5),TRANSPOSE(X145:AA145))</f>
        <v>0.000208214228821388</v>
      </c>
      <c r="AD145" s="6" t="n">
        <f aca="false">SUMPRODUCT(X145:AA145,$E$237:$H$237)</f>
        <v>-0.000675169666661511</v>
      </c>
      <c r="AE145" s="24" t="n">
        <f aca="false">(AD145-$I$2)/SQRT(AC145)</f>
        <v>-0.0754215625688078</v>
      </c>
      <c r="AF145" s="6" t="n">
        <f aca="false">AD145</f>
        <v>-0.000675169666661511</v>
      </c>
      <c r="AG145" s="6" t="n">
        <f aca="false">AC145</f>
        <v>0.000208214228821388</v>
      </c>
      <c r="AH145" s="23" t="n">
        <f aca="false">X145</f>
        <v>0.0344827586206897</v>
      </c>
      <c r="AI145" s="23" t="n">
        <f aca="false">Y145</f>
        <v>0.182266009852217</v>
      </c>
      <c r="AJ145" s="23" t="n">
        <f aca="false">Z145</f>
        <v>0.305418719211823</v>
      </c>
      <c r="AK145" s="23" t="n">
        <f aca="false">AA145</f>
        <v>0.477832512315271</v>
      </c>
    </row>
    <row r="146" customFormat="false" ht="15" hidden="false" customHeight="true" outlineLevel="0" collapsed="false">
      <c r="A146" s="22" t="n">
        <f aca="false">aci!H147</f>
        <v>161.1</v>
      </c>
      <c r="B146" s="22" t="n">
        <f aca="false">apexfoot!H147</f>
        <v>238.9</v>
      </c>
      <c r="C146" s="22" t="n">
        <f aca="false">bxpharma!H147</f>
        <v>74.1</v>
      </c>
      <c r="D146" s="22" t="n">
        <f aca="false">batbc!H147</f>
        <v>425.5</v>
      </c>
      <c r="E146" s="6" t="n">
        <f aca="false">LN(A145/A146)</f>
        <v>0.00309885590406636</v>
      </c>
      <c r="F146" s="6" t="n">
        <f aca="false">LN(B145/B146)</f>
        <v>-0.000837520986979523</v>
      </c>
      <c r="G146" s="6" t="n">
        <f aca="false">LN(C145/C146)</f>
        <v>-0.0176995770994009</v>
      </c>
      <c r="H146" s="6" t="n">
        <f aca="false">LN(D145/D146)</f>
        <v>-0.0163491380015294</v>
      </c>
      <c r="I146" s="6" t="n">
        <f aca="false">E146-$I$2</f>
        <v>0.00268572031084602</v>
      </c>
      <c r="J146" s="6" t="n">
        <f aca="false">F146-$J$2</f>
        <v>-0.00125065658019986</v>
      </c>
      <c r="K146" s="6" t="n">
        <f aca="false">G146-$K$2</f>
        <v>-0.0181127126926212</v>
      </c>
      <c r="L146" s="6" t="n">
        <f aca="false">H146-$L$2</f>
        <v>-0.0167622735947498</v>
      </c>
      <c r="S146" s="9" t="n">
        <v>0.23</v>
      </c>
      <c r="T146" s="9" t="n">
        <v>0.69</v>
      </c>
      <c r="U146" s="9" t="n">
        <v>0.45</v>
      </c>
      <c r="V146" s="9" t="n">
        <v>0.61</v>
      </c>
      <c r="W146" s="22" t="n">
        <f aca="false">SUM(S146:V146)</f>
        <v>1.98</v>
      </c>
      <c r="X146" s="23" t="n">
        <f aca="false">S146/$W146</f>
        <v>0.116161616161616</v>
      </c>
      <c r="Y146" s="23" t="n">
        <f aca="false">T146/$W146</f>
        <v>0.348484848484848</v>
      </c>
      <c r="Z146" s="23" t="n">
        <f aca="false">U146/$W146</f>
        <v>0.227272727272727</v>
      </c>
      <c r="AA146" s="23" t="n">
        <f aca="false">V146/$W146</f>
        <v>0.308080808080808</v>
      </c>
      <c r="AB146" s="23" t="n">
        <f aca="false">SUM(X146:AA146)</f>
        <v>1</v>
      </c>
      <c r="AC146" s="6" t="n">
        <f aca="false" t="array" ref="AC146:AC146">MMULT(MMULT(X146:AA146,$N$2:$Q$5),TRANSPOSE(X146:AA146))</f>
        <v>0.000201001236994794</v>
      </c>
      <c r="AD146" s="6" t="n">
        <f aca="false">SUMPRODUCT(X146:AA146,$E$237:$H$237)</f>
        <v>-0.000493069343326466</v>
      </c>
      <c r="AE146" s="24" t="n">
        <f aca="false">(AD146-$I$2)/SQRT(AC146)</f>
        <v>-0.0639185712226435</v>
      </c>
      <c r="AF146" s="6" t="n">
        <f aca="false">AD146</f>
        <v>-0.000493069343326466</v>
      </c>
      <c r="AG146" s="6" t="n">
        <f aca="false">AC146</f>
        <v>0.000201001236994794</v>
      </c>
      <c r="AH146" s="23" t="n">
        <f aca="false">X146</f>
        <v>0.116161616161616</v>
      </c>
      <c r="AI146" s="23" t="n">
        <f aca="false">Y146</f>
        <v>0.348484848484848</v>
      </c>
      <c r="AJ146" s="23" t="n">
        <f aca="false">Z146</f>
        <v>0.227272727272727</v>
      </c>
      <c r="AK146" s="23" t="n">
        <f aca="false">AA146</f>
        <v>0.308080808080808</v>
      </c>
    </row>
    <row r="147" customFormat="false" ht="15" hidden="false" customHeight="true" outlineLevel="0" collapsed="false">
      <c r="A147" s="22" t="n">
        <f aca="false">aci!H148</f>
        <v>161.5</v>
      </c>
      <c r="B147" s="22" t="n">
        <f aca="false">apexfoot!H148</f>
        <v>242.4</v>
      </c>
      <c r="C147" s="22" t="n">
        <f aca="false">bxpharma!H148</f>
        <v>76.6</v>
      </c>
      <c r="D147" s="22" t="n">
        <f aca="false">batbc!H148</f>
        <v>423.5</v>
      </c>
      <c r="E147" s="6" t="n">
        <f aca="false">LN(A146/A147)</f>
        <v>-0.00247985247978261</v>
      </c>
      <c r="F147" s="6" t="n">
        <f aca="false">LN(B146/B147)</f>
        <v>-0.0145441998633956</v>
      </c>
      <c r="G147" s="6" t="n">
        <f aca="false">LN(C146/C147)</f>
        <v>-0.0331815444445044</v>
      </c>
      <c r="H147" s="6" t="n">
        <f aca="false">LN(D146/D147)</f>
        <v>0.00471143392131966</v>
      </c>
      <c r="I147" s="6" t="n">
        <f aca="false">E147-$I$2</f>
        <v>-0.00289298807300295</v>
      </c>
      <c r="J147" s="6" t="n">
        <f aca="false">F147-$J$2</f>
        <v>-0.0149573354566159</v>
      </c>
      <c r="K147" s="6" t="n">
        <f aca="false">G147-$K$2</f>
        <v>-0.0335946800377247</v>
      </c>
      <c r="L147" s="6" t="n">
        <f aca="false">H147-$L$2</f>
        <v>0.00429829832809932</v>
      </c>
      <c r="S147" s="9" t="n">
        <v>0.44</v>
      </c>
      <c r="T147" s="9" t="n">
        <v>0.21</v>
      </c>
      <c r="U147" s="9" t="n">
        <v>0.54</v>
      </c>
      <c r="V147" s="9" t="n">
        <v>0.76</v>
      </c>
      <c r="W147" s="22" t="n">
        <f aca="false">SUM(S147:V147)</f>
        <v>1.95</v>
      </c>
      <c r="X147" s="23" t="n">
        <f aca="false">S147/$W147</f>
        <v>0.225641025641026</v>
      </c>
      <c r="Y147" s="23" t="n">
        <f aca="false">T147/$W147</f>
        <v>0.107692307692308</v>
      </c>
      <c r="Z147" s="23" t="n">
        <f aca="false">U147/$W147</f>
        <v>0.276923076923077</v>
      </c>
      <c r="AA147" s="23" t="n">
        <f aca="false">V147/$W147</f>
        <v>0.38974358974359</v>
      </c>
      <c r="AB147" s="23" t="n">
        <f aca="false">SUM(X147:AA147)</f>
        <v>1</v>
      </c>
      <c r="AC147" s="6" t="n">
        <f aca="false" t="array" ref="AC147:AC147">MMULT(MMULT(X147:AA147,$N$2:$Q$5),TRANSPOSE(X147:AA147))</f>
        <v>0.000242271630689288</v>
      </c>
      <c r="AD147" s="6" t="n">
        <f aca="false">SUMPRODUCT(X147:AA147,$E$237:$H$237)</f>
        <v>-0.000318516173272724</v>
      </c>
      <c r="AE147" s="24" t="n">
        <f aca="false">(AD147-$I$2)/SQRT(AC147)</f>
        <v>-0.0470059835487126</v>
      </c>
      <c r="AF147" s="6" t="n">
        <f aca="false">AD147</f>
        <v>-0.000318516173272724</v>
      </c>
      <c r="AG147" s="6" t="n">
        <f aca="false">AC147</f>
        <v>0.000242271630689288</v>
      </c>
      <c r="AH147" s="23" t="n">
        <f aca="false">X147</f>
        <v>0.225641025641026</v>
      </c>
      <c r="AI147" s="23" t="n">
        <f aca="false">Y147</f>
        <v>0.107692307692308</v>
      </c>
      <c r="AJ147" s="23" t="n">
        <f aca="false">Z147</f>
        <v>0.276923076923077</v>
      </c>
      <c r="AK147" s="23" t="n">
        <f aca="false">AA147</f>
        <v>0.38974358974359</v>
      </c>
    </row>
    <row r="148" customFormat="false" ht="15" hidden="false" customHeight="true" outlineLevel="0" collapsed="false">
      <c r="A148" s="22" t="n">
        <f aca="false">aci!H149</f>
        <v>163</v>
      </c>
      <c r="B148" s="22" t="n">
        <f aca="false">apexfoot!H149</f>
        <v>237.3</v>
      </c>
      <c r="C148" s="22" t="n">
        <f aca="false">bxpharma!H149</f>
        <v>76.2</v>
      </c>
      <c r="D148" s="22" t="n">
        <f aca="false">batbc!H149</f>
        <v>419.7</v>
      </c>
      <c r="E148" s="6" t="n">
        <f aca="false">LN(A147/A148)</f>
        <v>-0.00924505814405105</v>
      </c>
      <c r="F148" s="6" t="n">
        <f aca="false">LN(B147/B148)</f>
        <v>0.0212640907534416</v>
      </c>
      <c r="G148" s="6" t="n">
        <f aca="false">LN(C147/C148)</f>
        <v>0.00523561405394494</v>
      </c>
      <c r="H148" s="6" t="n">
        <f aca="false">LN(D147/D148)</f>
        <v>0.009013343752564</v>
      </c>
      <c r="I148" s="6" t="n">
        <f aca="false">E148-$I$2</f>
        <v>-0.00965819373727139</v>
      </c>
      <c r="J148" s="6" t="n">
        <f aca="false">F148-$J$2</f>
        <v>0.0208509551602212</v>
      </c>
      <c r="K148" s="6" t="n">
        <f aca="false">G148-$K$2</f>
        <v>0.0048224784607246</v>
      </c>
      <c r="L148" s="6" t="n">
        <f aca="false">H148-$L$2</f>
        <v>0.00860020815934366</v>
      </c>
      <c r="S148" s="9" t="n">
        <v>0.07</v>
      </c>
      <c r="T148" s="9" t="n">
        <v>0.11</v>
      </c>
      <c r="U148" s="9" t="n">
        <v>0.88</v>
      </c>
      <c r="V148" s="9" t="n">
        <v>0.35</v>
      </c>
      <c r="W148" s="22" t="n">
        <f aca="false">SUM(S148:V148)</f>
        <v>1.41</v>
      </c>
      <c r="X148" s="23" t="n">
        <f aca="false">S148/$W148</f>
        <v>0.049645390070922</v>
      </c>
      <c r="Y148" s="23" t="n">
        <f aca="false">T148/$W148</f>
        <v>0.0780141843971631</v>
      </c>
      <c r="Z148" s="23" t="n">
        <f aca="false">U148/$W148</f>
        <v>0.624113475177305</v>
      </c>
      <c r="AA148" s="23" t="n">
        <f aca="false">V148/$W148</f>
        <v>0.24822695035461</v>
      </c>
      <c r="AB148" s="23" t="n">
        <f aca="false">SUM(X148:AA148)</f>
        <v>1</v>
      </c>
      <c r="AC148" s="6" t="n">
        <f aca="false" t="array" ref="AC148:AC148">MMULT(MMULT(X148:AA148,$N$2:$Q$5),TRANSPOSE(X148:AA148))</f>
        <v>0.000296570231764278</v>
      </c>
      <c r="AD148" s="6" t="n">
        <f aca="false">SUMPRODUCT(X148:AA148,$E$237:$H$237)</f>
        <v>-0.000492737245606052</v>
      </c>
      <c r="AE148" s="24" t="n">
        <f aca="false">(AD148-$I$2)/SQRT(AC148)</f>
        <v>-0.0526021457071577</v>
      </c>
      <c r="AF148" s="6" t="n">
        <f aca="false">AD148</f>
        <v>-0.000492737245606052</v>
      </c>
      <c r="AG148" s="6" t="n">
        <f aca="false">AC148</f>
        <v>0.000296570231764278</v>
      </c>
      <c r="AH148" s="23" t="n">
        <f aca="false">X148</f>
        <v>0.049645390070922</v>
      </c>
      <c r="AI148" s="23" t="n">
        <f aca="false">Y148</f>
        <v>0.0780141843971631</v>
      </c>
      <c r="AJ148" s="23" t="n">
        <f aca="false">Z148</f>
        <v>0.624113475177305</v>
      </c>
      <c r="AK148" s="23" t="n">
        <f aca="false">AA148</f>
        <v>0.24822695035461</v>
      </c>
    </row>
    <row r="149" customFormat="false" ht="15" hidden="false" customHeight="true" outlineLevel="0" collapsed="false">
      <c r="A149" s="22" t="n">
        <f aca="false">aci!H150</f>
        <v>161.5</v>
      </c>
      <c r="B149" s="22" t="n">
        <f aca="false">apexfoot!H150</f>
        <v>238</v>
      </c>
      <c r="C149" s="22" t="n">
        <f aca="false">bxpharma!H150</f>
        <v>76.7</v>
      </c>
      <c r="D149" s="22" t="n">
        <f aca="false">batbc!H150</f>
        <v>413.9</v>
      </c>
      <c r="E149" s="6" t="n">
        <f aca="false">LN(A148/A149)</f>
        <v>0.00924505814405121</v>
      </c>
      <c r="F149" s="6" t="n">
        <f aca="false">LN(B148/B149)</f>
        <v>-0.0029455102297568</v>
      </c>
      <c r="G149" s="6" t="n">
        <f aca="false">LN(C148/C149)</f>
        <v>-0.00654024568060988</v>
      </c>
      <c r="H149" s="6" t="n">
        <f aca="false">LN(D148/D149)</f>
        <v>0.0139157715848584</v>
      </c>
      <c r="I149" s="6" t="n">
        <f aca="false">E149-$I$2</f>
        <v>0.00883192255083087</v>
      </c>
      <c r="J149" s="6" t="n">
        <f aca="false">F149-$J$2</f>
        <v>-0.00335864582297714</v>
      </c>
      <c r="K149" s="6" t="n">
        <f aca="false">G149-$K$2</f>
        <v>-0.00695338127383022</v>
      </c>
      <c r="L149" s="6" t="n">
        <f aca="false">H149-$L$2</f>
        <v>0.0135026359916381</v>
      </c>
      <c r="S149" s="9" t="n">
        <v>0.9</v>
      </c>
      <c r="T149" s="9" t="n">
        <v>0.2</v>
      </c>
      <c r="U149" s="9" t="n">
        <v>0.71</v>
      </c>
      <c r="V149" s="9" t="n">
        <v>0.25</v>
      </c>
      <c r="W149" s="22" t="n">
        <f aca="false">SUM(S149:V149)</f>
        <v>2.06</v>
      </c>
      <c r="X149" s="23" t="n">
        <f aca="false">S149/$W149</f>
        <v>0.436893203883495</v>
      </c>
      <c r="Y149" s="23" t="n">
        <f aca="false">T149/$W149</f>
        <v>0.0970873786407767</v>
      </c>
      <c r="Z149" s="23" t="n">
        <f aca="false">U149/$W149</f>
        <v>0.344660194174757</v>
      </c>
      <c r="AA149" s="23" t="n">
        <f aca="false">V149/$W149</f>
        <v>0.121359223300971</v>
      </c>
      <c r="AB149" s="23" t="n">
        <f aca="false">SUM(X149:AA149)</f>
        <v>1</v>
      </c>
      <c r="AC149" s="6" t="n">
        <f aca="false" t="array" ref="AC149:AC149">MMULT(MMULT(X149:AA149,$N$2:$Q$5),TRANSPOSE(X149:AA149))</f>
        <v>0.000323548486690066</v>
      </c>
      <c r="AD149" s="6" t="n">
        <f aca="false">SUMPRODUCT(X149:AA149,$E$237:$H$237)</f>
        <v>0.000158560341932141</v>
      </c>
      <c r="AE149" s="24" t="n">
        <f aca="false">(AD149-$I$2)/SQRT(AC149)</f>
        <v>-0.0141529344328599</v>
      </c>
      <c r="AF149" s="6" t="n">
        <f aca="false">AD149</f>
        <v>0.000158560341932141</v>
      </c>
      <c r="AG149" s="6" t="n">
        <f aca="false">AC149</f>
        <v>0.000323548486690066</v>
      </c>
      <c r="AH149" s="23" t="n">
        <f aca="false">X149</f>
        <v>0.436893203883495</v>
      </c>
      <c r="AI149" s="23" t="n">
        <f aca="false">Y149</f>
        <v>0.0970873786407767</v>
      </c>
      <c r="AJ149" s="23" t="n">
        <f aca="false">Z149</f>
        <v>0.344660194174757</v>
      </c>
      <c r="AK149" s="23" t="n">
        <f aca="false">AA149</f>
        <v>0.121359223300971</v>
      </c>
    </row>
    <row r="150" customFormat="false" ht="15" hidden="false" customHeight="true" outlineLevel="0" collapsed="false">
      <c r="A150" s="22" t="n">
        <f aca="false">aci!H151</f>
        <v>154.9</v>
      </c>
      <c r="B150" s="22" t="n">
        <f aca="false">apexfoot!H151</f>
        <v>237.6</v>
      </c>
      <c r="C150" s="22" t="n">
        <f aca="false">bxpharma!H151</f>
        <v>79</v>
      </c>
      <c r="D150" s="22" t="n">
        <f aca="false">batbc!H151</f>
        <v>404.1</v>
      </c>
      <c r="E150" s="6" t="n">
        <f aca="false">LN(A149/A150)</f>
        <v>0.0417253952398883</v>
      </c>
      <c r="F150" s="6" t="n">
        <f aca="false">LN(B149/B150)</f>
        <v>0.00168208618298488</v>
      </c>
      <c r="G150" s="6" t="n">
        <f aca="false">LN(C149/C150)</f>
        <v>-0.0295461440938109</v>
      </c>
      <c r="H150" s="6" t="n">
        <f aca="false">LN(D149/D150)</f>
        <v>0.0239620266702585</v>
      </c>
      <c r="I150" s="6" t="n">
        <f aca="false">E150-$I$2</f>
        <v>0.0413122596466679</v>
      </c>
      <c r="J150" s="6" t="n">
        <f aca="false">F150-$J$2</f>
        <v>0.00126895058976454</v>
      </c>
      <c r="K150" s="6" t="n">
        <f aca="false">G150-$K$2</f>
        <v>-0.0299592796870313</v>
      </c>
      <c r="L150" s="6" t="n">
        <f aca="false">H150-$L$2</f>
        <v>0.0235488910770382</v>
      </c>
      <c r="S150" s="9" t="n">
        <v>0.6</v>
      </c>
      <c r="T150" s="9" t="n">
        <v>0.36</v>
      </c>
      <c r="U150" s="9" t="n">
        <v>0.86</v>
      </c>
      <c r="V150" s="9" t="n">
        <v>0.73</v>
      </c>
      <c r="W150" s="22" t="n">
        <f aca="false">SUM(S150:V150)</f>
        <v>2.55</v>
      </c>
      <c r="X150" s="23" t="n">
        <f aca="false">S150/$W150</f>
        <v>0.235294117647059</v>
      </c>
      <c r="Y150" s="23" t="n">
        <f aca="false">T150/$W150</f>
        <v>0.141176470588235</v>
      </c>
      <c r="Z150" s="23" t="n">
        <f aca="false">U150/$W150</f>
        <v>0.337254901960784</v>
      </c>
      <c r="AA150" s="23" t="n">
        <f aca="false">V150/$W150</f>
        <v>0.286274509803922</v>
      </c>
      <c r="AB150" s="23" t="n">
        <f aca="false">SUM(X150:AA150)</f>
        <v>1</v>
      </c>
      <c r="AC150" s="6" t="n">
        <f aca="false" t="array" ref="AC150:AC150">MMULT(MMULT(X150:AA150,$N$2:$Q$5),TRANSPOSE(X150:AA150))</f>
        <v>0.000243876883712402</v>
      </c>
      <c r="AD150" s="6" t="n">
        <f aca="false">SUMPRODUCT(X150:AA150,$E$237:$H$237)</f>
        <v>-0.000251450928358553</v>
      </c>
      <c r="AE150" s="24" t="n">
        <f aca="false">(AD150-$I$2)/SQRT(AC150)</f>
        <v>-0.0425565301684135</v>
      </c>
      <c r="AF150" s="6" t="n">
        <f aca="false">AD150</f>
        <v>-0.000251450928358553</v>
      </c>
      <c r="AG150" s="6" t="n">
        <f aca="false">AC150</f>
        <v>0.000243876883712402</v>
      </c>
      <c r="AH150" s="23" t="n">
        <f aca="false">X150</f>
        <v>0.235294117647059</v>
      </c>
      <c r="AI150" s="23" t="n">
        <f aca="false">Y150</f>
        <v>0.141176470588235</v>
      </c>
      <c r="AJ150" s="23" t="n">
        <f aca="false">Z150</f>
        <v>0.337254901960784</v>
      </c>
      <c r="AK150" s="23" t="n">
        <f aca="false">AA150</f>
        <v>0.286274509803922</v>
      </c>
    </row>
    <row r="151" customFormat="false" ht="15" hidden="false" customHeight="true" outlineLevel="0" collapsed="false">
      <c r="A151" s="22" t="n">
        <f aca="false">aci!H152</f>
        <v>157.5</v>
      </c>
      <c r="B151" s="22" t="n">
        <f aca="false">apexfoot!H152</f>
        <v>229.3</v>
      </c>
      <c r="C151" s="22" t="n">
        <f aca="false">bxpharma!H152</f>
        <v>74.9</v>
      </c>
      <c r="D151" s="22" t="n">
        <f aca="false">batbc!H152</f>
        <v>409.7</v>
      </c>
      <c r="E151" s="6" t="n">
        <f aca="false">LN(A150/A151)</f>
        <v>-0.0166457108428648</v>
      </c>
      <c r="F151" s="6" t="n">
        <f aca="false">LN(B150/B151)</f>
        <v>0.035557397624631</v>
      </c>
      <c r="G151" s="6" t="n">
        <f aca="false">LN(C150/C151)</f>
        <v>0.0532939619438477</v>
      </c>
      <c r="H151" s="6" t="n">
        <f aca="false">LN(D150/D151)</f>
        <v>-0.0137628124683974</v>
      </c>
      <c r="I151" s="6" t="n">
        <f aca="false">E151-$I$2</f>
        <v>-0.0170588464360851</v>
      </c>
      <c r="J151" s="6" t="n">
        <f aca="false">F151-$J$2</f>
        <v>0.0351442620314107</v>
      </c>
      <c r="K151" s="6" t="n">
        <f aca="false">G151-$K$2</f>
        <v>0.0528808263506274</v>
      </c>
      <c r="L151" s="6" t="n">
        <f aca="false">H151-$L$2</f>
        <v>-0.0141759480616177</v>
      </c>
      <c r="S151" s="9" t="n">
        <v>0.5</v>
      </c>
      <c r="T151" s="9" t="n">
        <v>0.53</v>
      </c>
      <c r="U151" s="9" t="n">
        <v>0.81</v>
      </c>
      <c r="V151" s="9" t="n">
        <v>0.49</v>
      </c>
      <c r="W151" s="22" t="n">
        <f aca="false">SUM(S151:V151)</f>
        <v>2.33</v>
      </c>
      <c r="X151" s="23" t="n">
        <f aca="false">S151/$W151</f>
        <v>0.214592274678112</v>
      </c>
      <c r="Y151" s="23" t="n">
        <f aca="false">T151/$W151</f>
        <v>0.227467811158798</v>
      </c>
      <c r="Z151" s="23" t="n">
        <f aca="false">U151/$W151</f>
        <v>0.347639484978541</v>
      </c>
      <c r="AA151" s="23" t="n">
        <f aca="false">V151/$W151</f>
        <v>0.210300429184549</v>
      </c>
      <c r="AB151" s="23" t="n">
        <f aca="false">SUM(X151:AA151)</f>
        <v>1</v>
      </c>
      <c r="AC151" s="6" t="n">
        <f aca="false" t="array" ref="AC151:AC151">MMULT(MMULT(X151:AA151,$N$2:$Q$5),TRANSPOSE(X151:AA151))</f>
        <v>0.000232826370932229</v>
      </c>
      <c r="AD151" s="6" t="n">
        <f aca="false">SUMPRODUCT(X151:AA151,$E$237:$H$237)</f>
        <v>-0.000258802751777553</v>
      </c>
      <c r="AE151" s="24" t="n">
        <f aca="false">(AD151-$I$2)/SQRT(AC151)</f>
        <v>-0.0440365554414474</v>
      </c>
      <c r="AF151" s="6" t="n">
        <f aca="false">AD151</f>
        <v>-0.000258802751777553</v>
      </c>
      <c r="AG151" s="6" t="n">
        <f aca="false">AC151</f>
        <v>0.000232826370932229</v>
      </c>
      <c r="AH151" s="23" t="n">
        <f aca="false">X151</f>
        <v>0.214592274678112</v>
      </c>
      <c r="AI151" s="23" t="n">
        <f aca="false">Y151</f>
        <v>0.227467811158798</v>
      </c>
      <c r="AJ151" s="23" t="n">
        <f aca="false">Z151</f>
        <v>0.347639484978541</v>
      </c>
      <c r="AK151" s="23" t="n">
        <f aca="false">AA151</f>
        <v>0.210300429184549</v>
      </c>
    </row>
    <row r="152" customFormat="false" ht="15" hidden="false" customHeight="true" outlineLevel="0" collapsed="false">
      <c r="A152" s="22" t="n">
        <f aca="false">aci!H153</f>
        <v>147.3</v>
      </c>
      <c r="B152" s="22" t="n">
        <f aca="false">apexfoot!H153</f>
        <v>230.1</v>
      </c>
      <c r="C152" s="22" t="n">
        <f aca="false">bxpharma!H153</f>
        <v>73.6</v>
      </c>
      <c r="D152" s="22" t="n">
        <f aca="false">batbc!H153</f>
        <v>409.8</v>
      </c>
      <c r="E152" s="6" t="n">
        <f aca="false">LN(A151/A152)</f>
        <v>0.0669541347971032</v>
      </c>
      <c r="F152" s="6" t="n">
        <f aca="false">LN(B151/B152)</f>
        <v>-0.0034828071774614</v>
      </c>
      <c r="G152" s="6" t="n">
        <f aca="false">LN(C151/C152)</f>
        <v>0.0175088647883433</v>
      </c>
      <c r="H152" s="6" t="n">
        <f aca="false">LN(D151/D152)</f>
        <v>-0.000244051251974086</v>
      </c>
      <c r="I152" s="6" t="n">
        <f aca="false">E152-$I$2</f>
        <v>0.0665409992038828</v>
      </c>
      <c r="J152" s="6" t="n">
        <f aca="false">F152-$J$2</f>
        <v>-0.00389594277068174</v>
      </c>
      <c r="K152" s="6" t="n">
        <f aca="false">G152-$K$2</f>
        <v>0.017095729195123</v>
      </c>
      <c r="L152" s="6" t="n">
        <f aca="false">H152-$L$2</f>
        <v>-0.000657186845194425</v>
      </c>
      <c r="S152" s="9" t="n">
        <v>0.14</v>
      </c>
      <c r="T152" s="9" t="n">
        <v>0.6</v>
      </c>
      <c r="U152" s="9" t="n">
        <v>1</v>
      </c>
      <c r="V152" s="9" t="n">
        <v>0.37</v>
      </c>
      <c r="W152" s="22" t="n">
        <f aca="false">SUM(S152:V152)</f>
        <v>2.11</v>
      </c>
      <c r="X152" s="23" t="n">
        <f aca="false">S152/$W152</f>
        <v>0.0663507109004739</v>
      </c>
      <c r="Y152" s="23" t="n">
        <f aca="false">T152/$W152</f>
        <v>0.28436018957346</v>
      </c>
      <c r="Z152" s="23" t="n">
        <f aca="false">U152/$W152</f>
        <v>0.4739336492891</v>
      </c>
      <c r="AA152" s="23" t="n">
        <f aca="false">V152/$W152</f>
        <v>0.175355450236967</v>
      </c>
      <c r="AB152" s="23" t="n">
        <f aca="false">SUM(X152:AA152)</f>
        <v>1</v>
      </c>
      <c r="AC152" s="6" t="n">
        <f aca="false" t="array" ref="AC152:AC152">MMULT(MMULT(X152:AA152,$N$2:$Q$5),TRANSPOSE(X152:AA152))</f>
        <v>0.000234125233340803</v>
      </c>
      <c r="AD152" s="6" t="n">
        <f aca="false">SUMPRODUCT(X152:AA152,$E$237:$H$237)</f>
        <v>-0.000474648452233191</v>
      </c>
      <c r="AE152" s="24" t="n">
        <f aca="false">(AD152-$I$2)/SQRT(AC152)</f>
        <v>-0.0580207347675511</v>
      </c>
      <c r="AF152" s="6" t="n">
        <f aca="false">AD152</f>
        <v>-0.000474648452233191</v>
      </c>
      <c r="AG152" s="6" t="n">
        <f aca="false">AC152</f>
        <v>0.000234125233340803</v>
      </c>
      <c r="AH152" s="23" t="n">
        <f aca="false">X152</f>
        <v>0.0663507109004739</v>
      </c>
      <c r="AI152" s="23" t="n">
        <f aca="false">Y152</f>
        <v>0.28436018957346</v>
      </c>
      <c r="AJ152" s="23" t="n">
        <f aca="false">Z152</f>
        <v>0.4739336492891</v>
      </c>
      <c r="AK152" s="23" t="n">
        <f aca="false">AA152</f>
        <v>0.175355450236967</v>
      </c>
    </row>
    <row r="153" customFormat="false" ht="15" hidden="false" customHeight="true" outlineLevel="0" collapsed="false">
      <c r="A153" s="22" t="n">
        <f aca="false">aci!H154</f>
        <v>149.8</v>
      </c>
      <c r="B153" s="22" t="n">
        <f aca="false">apexfoot!H154</f>
        <v>231.9</v>
      </c>
      <c r="C153" s="22" t="n">
        <f aca="false">bxpharma!H154</f>
        <v>75.8</v>
      </c>
      <c r="D153" s="22" t="n">
        <f aca="false">batbc!H154</f>
        <v>394.3</v>
      </c>
      <c r="E153" s="6" t="n">
        <f aca="false">LN(A152/A153)</f>
        <v>-0.0168297476145345</v>
      </c>
      <c r="F153" s="6" t="n">
        <f aca="false">LN(B152/B153)</f>
        <v>-0.00779224722016588</v>
      </c>
      <c r="G153" s="6" t="n">
        <f aca="false">LN(C152/C153)</f>
        <v>-0.0294532669134955</v>
      </c>
      <c r="H153" s="6" t="n">
        <f aca="false">LN(D152/D153)</f>
        <v>0.0385571949212178</v>
      </c>
      <c r="I153" s="6" t="n">
        <f aca="false">E153-$I$2</f>
        <v>-0.0172428832077548</v>
      </c>
      <c r="J153" s="6" t="n">
        <f aca="false">F153-$J$2</f>
        <v>-0.00820538281338622</v>
      </c>
      <c r="K153" s="6" t="n">
        <f aca="false">G153-$K$2</f>
        <v>-0.0298664025067158</v>
      </c>
      <c r="L153" s="6" t="n">
        <f aca="false">H153-$L$2</f>
        <v>0.0381440593279975</v>
      </c>
      <c r="S153" s="9" t="n">
        <v>0.44</v>
      </c>
      <c r="T153" s="9" t="n">
        <v>0.97</v>
      </c>
      <c r="U153" s="9" t="n">
        <v>0.39</v>
      </c>
      <c r="V153" s="9" t="n">
        <v>0.25</v>
      </c>
      <c r="W153" s="22" t="n">
        <f aca="false">SUM(S153:V153)</f>
        <v>2.05</v>
      </c>
      <c r="X153" s="23" t="n">
        <f aca="false">S153/$W153</f>
        <v>0.214634146341463</v>
      </c>
      <c r="Y153" s="23" t="n">
        <f aca="false">T153/$W153</f>
        <v>0.473170731707317</v>
      </c>
      <c r="Z153" s="23" t="n">
        <f aca="false">U153/$W153</f>
        <v>0.190243902439024</v>
      </c>
      <c r="AA153" s="23" t="n">
        <f aca="false">V153/$W153</f>
        <v>0.121951219512195</v>
      </c>
      <c r="AB153" s="23" t="n">
        <f aca="false">SUM(X153:AA153)</f>
        <v>1</v>
      </c>
      <c r="AC153" s="6" t="n">
        <f aca="false" t="array" ref="AC153:AC153">MMULT(MMULT(X153:AA153,$N$2:$Q$5),TRANSPOSE(X153:AA153))</f>
        <v>0.00021967950536176</v>
      </c>
      <c r="AD153" s="6" t="n">
        <f aca="false">SUMPRODUCT(X153:AA153,$E$237:$H$237)</f>
        <v>-0.000266147779336954</v>
      </c>
      <c r="AE153" s="24" t="n">
        <f aca="false">(AD153-$I$2)/SQRT(AC153)</f>
        <v>-0.0458306707207519</v>
      </c>
      <c r="AF153" s="6" t="n">
        <f aca="false">AD153</f>
        <v>-0.000266147779336954</v>
      </c>
      <c r="AG153" s="6" t="n">
        <f aca="false">AC153</f>
        <v>0.00021967950536176</v>
      </c>
      <c r="AH153" s="23" t="n">
        <f aca="false">X153</f>
        <v>0.214634146341463</v>
      </c>
      <c r="AI153" s="23" t="n">
        <f aca="false">Y153</f>
        <v>0.473170731707317</v>
      </c>
      <c r="AJ153" s="23" t="n">
        <f aca="false">Z153</f>
        <v>0.190243902439024</v>
      </c>
      <c r="AK153" s="23" t="n">
        <f aca="false">AA153</f>
        <v>0.121951219512195</v>
      </c>
    </row>
    <row r="154" customFormat="false" ht="15" hidden="false" customHeight="true" outlineLevel="0" collapsed="false">
      <c r="A154" s="22" t="n">
        <f aca="false">aci!H155</f>
        <v>154.4</v>
      </c>
      <c r="B154" s="22" t="n">
        <f aca="false">apexfoot!H155</f>
        <v>239</v>
      </c>
      <c r="C154" s="22" t="n">
        <f aca="false">bxpharma!H155</f>
        <v>78.1</v>
      </c>
      <c r="D154" s="22" t="n">
        <f aca="false">batbc!H155</f>
        <v>406.4</v>
      </c>
      <c r="E154" s="6" t="n">
        <f aca="false">LN(A153/A154)</f>
        <v>-0.0302455665075567</v>
      </c>
      <c r="F154" s="6" t="n">
        <f aca="false">LN(B153/B154)</f>
        <v>-0.0301573076700247</v>
      </c>
      <c r="G154" s="6" t="n">
        <f aca="false">LN(C153/C154)</f>
        <v>-0.0298917641973143</v>
      </c>
      <c r="H154" s="6" t="n">
        <f aca="false">LN(D153/D154)</f>
        <v>-0.0302258553806905</v>
      </c>
      <c r="I154" s="6" t="n">
        <f aca="false">E154-$I$2</f>
        <v>-0.030658702100777</v>
      </c>
      <c r="J154" s="6" t="n">
        <f aca="false">F154-$J$2</f>
        <v>-0.030570443263245</v>
      </c>
      <c r="K154" s="6" t="n">
        <f aca="false">G154-$K$2</f>
        <v>-0.0303048997905346</v>
      </c>
      <c r="L154" s="6" t="n">
        <f aca="false">H154-$L$2</f>
        <v>-0.0306389909739109</v>
      </c>
      <c r="S154" s="9" t="n">
        <v>0.11</v>
      </c>
      <c r="T154" s="9" t="n">
        <v>0.23</v>
      </c>
      <c r="U154" s="9" t="n">
        <v>0.19</v>
      </c>
      <c r="V154" s="9" t="n">
        <v>0.07</v>
      </c>
      <c r="W154" s="22" t="n">
        <f aca="false">SUM(S154:V154)</f>
        <v>0.6</v>
      </c>
      <c r="X154" s="23" t="n">
        <f aca="false">S154/$W154</f>
        <v>0.183333333333333</v>
      </c>
      <c r="Y154" s="23" t="n">
        <f aca="false">T154/$W154</f>
        <v>0.383333333333333</v>
      </c>
      <c r="Z154" s="23" t="n">
        <f aca="false">U154/$W154</f>
        <v>0.316666666666667</v>
      </c>
      <c r="AA154" s="23" t="n">
        <f aca="false">V154/$W154</f>
        <v>0.116666666666667</v>
      </c>
      <c r="AB154" s="23" t="n">
        <f aca="false">SUM(X154:AA154)</f>
        <v>1</v>
      </c>
      <c r="AC154" s="6" t="n">
        <f aca="false" t="array" ref="AC154:AC154">MMULT(MMULT(X154:AA154,$N$2:$Q$5),TRANSPOSE(X154:AA154))</f>
        <v>0.000219768770988558</v>
      </c>
      <c r="AD154" s="6" t="n">
        <f aca="false">SUMPRODUCT(X154:AA154,$E$237:$H$237)</f>
        <v>-0.000288417895996614</v>
      </c>
      <c r="AE154" s="24" t="n">
        <f aca="false">(AD154-$I$2)/SQRT(AC154)</f>
        <v>-0.0473236026546342</v>
      </c>
      <c r="AF154" s="6" t="n">
        <f aca="false">AD154</f>
        <v>-0.000288417895996614</v>
      </c>
      <c r="AG154" s="6" t="n">
        <f aca="false">AC154</f>
        <v>0.000219768770988558</v>
      </c>
      <c r="AH154" s="23" t="n">
        <f aca="false">X154</f>
        <v>0.183333333333333</v>
      </c>
      <c r="AI154" s="23" t="n">
        <f aca="false">Y154</f>
        <v>0.383333333333333</v>
      </c>
      <c r="AJ154" s="23" t="n">
        <f aca="false">Z154</f>
        <v>0.316666666666667</v>
      </c>
      <c r="AK154" s="23" t="n">
        <f aca="false">AA154</f>
        <v>0.116666666666667</v>
      </c>
    </row>
    <row r="155" customFormat="false" ht="15" hidden="false" customHeight="true" outlineLevel="0" collapsed="false">
      <c r="A155" s="22" t="n">
        <f aca="false">aci!H156</f>
        <v>159.1</v>
      </c>
      <c r="B155" s="22" t="n">
        <f aca="false">apexfoot!H156</f>
        <v>239.2</v>
      </c>
      <c r="C155" s="22" t="n">
        <f aca="false">bxpharma!H156</f>
        <v>80.5</v>
      </c>
      <c r="D155" s="22" t="n">
        <f aca="false">batbc!H156</f>
        <v>415.2</v>
      </c>
      <c r="E155" s="6" t="n">
        <f aca="false">LN(A154/A155)</f>
        <v>-0.0299862977530653</v>
      </c>
      <c r="F155" s="6" t="n">
        <f aca="false">LN(B154/B155)</f>
        <v>-0.000836470144965948</v>
      </c>
      <c r="G155" s="6" t="n">
        <f aca="false">LN(C154/C155)</f>
        <v>-0.0302671275788774</v>
      </c>
      <c r="H155" s="6" t="n">
        <f aca="false">LN(D154/D155)</f>
        <v>-0.0214224355874068</v>
      </c>
      <c r="I155" s="6" t="n">
        <f aca="false">E155-$I$2</f>
        <v>-0.0303994333462857</v>
      </c>
      <c r="J155" s="6" t="n">
        <f aca="false">F155-$J$2</f>
        <v>-0.00124960573818629</v>
      </c>
      <c r="K155" s="6" t="n">
        <f aca="false">G155-$K$2</f>
        <v>-0.0306802631720978</v>
      </c>
      <c r="L155" s="6" t="n">
        <f aca="false">H155-$L$2</f>
        <v>-0.0218355711806272</v>
      </c>
      <c r="S155" s="9" t="n">
        <v>0.55</v>
      </c>
      <c r="T155" s="9" t="n">
        <v>0.1</v>
      </c>
      <c r="U155" s="9" t="n">
        <v>0.95</v>
      </c>
      <c r="V155" s="9" t="n">
        <v>0.14</v>
      </c>
      <c r="W155" s="22" t="n">
        <f aca="false">SUM(S155:V155)</f>
        <v>1.74</v>
      </c>
      <c r="X155" s="23" t="n">
        <f aca="false">S155/$W155</f>
        <v>0.316091954022989</v>
      </c>
      <c r="Y155" s="23" t="n">
        <f aca="false">T155/$W155</f>
        <v>0.0574712643678161</v>
      </c>
      <c r="Z155" s="23" t="n">
        <f aca="false">U155/$W155</f>
        <v>0.545977011494253</v>
      </c>
      <c r="AA155" s="23" t="n">
        <f aca="false">V155/$W155</f>
        <v>0.0804597701149425</v>
      </c>
      <c r="AB155" s="23" t="n">
        <f aca="false">SUM(X155:AA155)</f>
        <v>1</v>
      </c>
      <c r="AC155" s="6" t="n">
        <f aca="false" t="array" ref="AC155:AC155">MMULT(MMULT(X155:AA155,$N$2:$Q$5),TRANSPOSE(X155:AA155))</f>
        <v>0.000337017126540875</v>
      </c>
      <c r="AD155" s="6" t="n">
        <f aca="false">SUMPRODUCT(X155:AA155,$E$237:$H$237)</f>
        <v>1.06578884630933E-005</v>
      </c>
      <c r="AE155" s="24" t="n">
        <f aca="false">(AD155-$I$2)/SQRT(AC155)</f>
        <v>-0.0219238005233006</v>
      </c>
      <c r="AF155" s="6" t="n">
        <f aca="false">AD155</f>
        <v>1.06578884630933E-005</v>
      </c>
      <c r="AG155" s="6" t="n">
        <f aca="false">AC155</f>
        <v>0.000337017126540875</v>
      </c>
      <c r="AH155" s="23" t="n">
        <f aca="false">X155</f>
        <v>0.316091954022989</v>
      </c>
      <c r="AI155" s="23" t="n">
        <f aca="false">Y155</f>
        <v>0.0574712643678161</v>
      </c>
      <c r="AJ155" s="23" t="n">
        <f aca="false">Z155</f>
        <v>0.545977011494253</v>
      </c>
      <c r="AK155" s="23" t="n">
        <f aca="false">AA155</f>
        <v>0.0804597701149425</v>
      </c>
    </row>
    <row r="156" customFormat="false" ht="15" hidden="false" customHeight="true" outlineLevel="0" collapsed="false">
      <c r="A156" s="22" t="n">
        <f aca="false">aci!H157</f>
        <v>163.8</v>
      </c>
      <c r="B156" s="22" t="n">
        <f aca="false">apexfoot!H157</f>
        <v>240.5</v>
      </c>
      <c r="C156" s="22" t="n">
        <f aca="false">bxpharma!H157</f>
        <v>82.9</v>
      </c>
      <c r="D156" s="22" t="n">
        <f aca="false">batbc!H157</f>
        <v>415.1</v>
      </c>
      <c r="E156" s="6" t="n">
        <f aca="false">LN(A155/A156)</f>
        <v>-0.029113236075228</v>
      </c>
      <c r="F156" s="6" t="n">
        <f aca="false">LN(B155/B156)</f>
        <v>-0.00542006746933926</v>
      </c>
      <c r="G156" s="6" t="n">
        <f aca="false">LN(C155/C156)</f>
        <v>-0.0293778777167316</v>
      </c>
      <c r="H156" s="6" t="n">
        <f aca="false">LN(D155/D156)</f>
        <v>0.000240876792685805</v>
      </c>
      <c r="I156" s="6" t="n">
        <f aca="false">E156-$I$2</f>
        <v>-0.0295263716684483</v>
      </c>
      <c r="J156" s="6" t="n">
        <f aca="false">F156-$J$2</f>
        <v>-0.0058332030625596</v>
      </c>
      <c r="K156" s="6" t="n">
        <f aca="false">G156-$K$2</f>
        <v>-0.029791013309952</v>
      </c>
      <c r="L156" s="6" t="n">
        <f aca="false">H156-$L$2</f>
        <v>-0.000172258800534534</v>
      </c>
      <c r="S156" s="9" t="n">
        <v>0.43</v>
      </c>
      <c r="T156" s="9" t="n">
        <v>0.05</v>
      </c>
      <c r="U156" s="9" t="n">
        <v>0.07</v>
      </c>
      <c r="V156" s="9" t="n">
        <v>0.06</v>
      </c>
      <c r="W156" s="22" t="n">
        <f aca="false">SUM(S156:V156)</f>
        <v>0.61</v>
      </c>
      <c r="X156" s="23" t="n">
        <f aca="false">S156/$W156</f>
        <v>0.704918032786885</v>
      </c>
      <c r="Y156" s="23" t="n">
        <f aca="false">T156/$W156</f>
        <v>0.0819672131147541</v>
      </c>
      <c r="Z156" s="23" t="n">
        <f aca="false">U156/$W156</f>
        <v>0.114754098360656</v>
      </c>
      <c r="AA156" s="23" t="n">
        <f aca="false">V156/$W156</f>
        <v>0.0983606557377049</v>
      </c>
      <c r="AB156" s="23" t="n">
        <f aca="false">SUM(X156:AA156)</f>
        <v>1</v>
      </c>
      <c r="AC156" s="6" t="n">
        <f aca="false" t="array" ref="AC156:AC156">MMULT(MMULT(X156:AA156,$N$2:$Q$5),TRANSPOSE(X156:AA156))</f>
        <v>0.000466702432028165</v>
      </c>
      <c r="AD156" s="6" t="n">
        <f aca="false">SUMPRODUCT(X156:AA156,$E$237:$H$237)</f>
        <v>0.000578183485670439</v>
      </c>
      <c r="AE156" s="24" t="n">
        <f aca="false">(AD156-$I$2)/SQRT(AC156)</f>
        <v>0.0076399400556457</v>
      </c>
      <c r="AF156" s="6" t="n">
        <f aca="false">AD156</f>
        <v>0.000578183485670439</v>
      </c>
      <c r="AG156" s="6" t="n">
        <f aca="false">AC156</f>
        <v>0.000466702432028165</v>
      </c>
      <c r="AH156" s="23" t="n">
        <f aca="false">X156</f>
        <v>0.704918032786885</v>
      </c>
      <c r="AI156" s="23" t="n">
        <f aca="false">Y156</f>
        <v>0.0819672131147541</v>
      </c>
      <c r="AJ156" s="23" t="n">
        <f aca="false">Z156</f>
        <v>0.114754098360656</v>
      </c>
      <c r="AK156" s="23" t="n">
        <f aca="false">AA156</f>
        <v>0.0983606557377049</v>
      </c>
    </row>
    <row r="157" customFormat="false" ht="15" hidden="false" customHeight="true" outlineLevel="0" collapsed="false">
      <c r="A157" s="22" t="n">
        <f aca="false">aci!H158</f>
        <v>168.8</v>
      </c>
      <c r="B157" s="22" t="n">
        <f aca="false">apexfoot!H158</f>
        <v>244</v>
      </c>
      <c r="C157" s="22" t="n">
        <f aca="false">bxpharma!H158</f>
        <v>85.4</v>
      </c>
      <c r="D157" s="22" t="n">
        <f aca="false">batbc!H158</f>
        <v>427.9</v>
      </c>
      <c r="E157" s="6" t="n">
        <f aca="false">LN(A156/A157)</f>
        <v>-0.0300684107428877</v>
      </c>
      <c r="F157" s="6" t="n">
        <f aca="false">LN(B156/B157)</f>
        <v>-0.014448135747386</v>
      </c>
      <c r="G157" s="6" t="n">
        <f aca="false">LN(C156/C157)</f>
        <v>-0.0297110386532749</v>
      </c>
      <c r="H157" s="6" t="n">
        <f aca="false">LN(D156/D157)</f>
        <v>-0.030370068363778</v>
      </c>
      <c r="I157" s="6" t="n">
        <f aca="false">E157-$I$2</f>
        <v>-0.030481546336108</v>
      </c>
      <c r="J157" s="6" t="n">
        <f aca="false">F157-$J$2</f>
        <v>-0.0148612713406064</v>
      </c>
      <c r="K157" s="6" t="n">
        <f aca="false">G157-$K$2</f>
        <v>-0.0301241742464953</v>
      </c>
      <c r="L157" s="6" t="n">
        <f aca="false">H157-$L$2</f>
        <v>-0.0307832039569984</v>
      </c>
      <c r="S157" s="9" t="n">
        <v>0.78</v>
      </c>
      <c r="T157" s="9" t="n">
        <v>0.88</v>
      </c>
      <c r="U157" s="9" t="n">
        <v>0.64</v>
      </c>
      <c r="V157" s="9" t="n">
        <v>0.41</v>
      </c>
      <c r="W157" s="22" t="n">
        <f aca="false">SUM(S157:V157)</f>
        <v>2.71</v>
      </c>
      <c r="X157" s="23" t="n">
        <f aca="false">S157/$W157</f>
        <v>0.287822878228782</v>
      </c>
      <c r="Y157" s="23" t="n">
        <f aca="false">T157/$W157</f>
        <v>0.324723247232472</v>
      </c>
      <c r="Z157" s="23" t="n">
        <f aca="false">U157/$W157</f>
        <v>0.236162361623616</v>
      </c>
      <c r="AA157" s="23" t="n">
        <f aca="false">V157/$W157</f>
        <v>0.151291512915129</v>
      </c>
      <c r="AB157" s="23" t="n">
        <f aca="false">SUM(X157:AA157)</f>
        <v>1</v>
      </c>
      <c r="AC157" s="6" t="n">
        <f aca="false" t="array" ref="AC157:AC157">MMULT(MMULT(X157:AA157,$N$2:$Q$5),TRANSPOSE(X157:AA157))</f>
        <v>0.000237036573921167</v>
      </c>
      <c r="AD157" s="6" t="n">
        <f aca="false">SUMPRODUCT(X157:AA157,$E$237:$H$237)</f>
        <v>-0.000137675044921898</v>
      </c>
      <c r="AE157" s="24" t="n">
        <f aca="false">(AD157-$I$2)/SQRT(AC157)</f>
        <v>-0.0357762353472283</v>
      </c>
      <c r="AF157" s="6" t="n">
        <f aca="false">AD157</f>
        <v>-0.000137675044921898</v>
      </c>
      <c r="AG157" s="6" t="n">
        <f aca="false">AC157</f>
        <v>0.000237036573921167</v>
      </c>
      <c r="AH157" s="23" t="n">
        <f aca="false">X157</f>
        <v>0.287822878228782</v>
      </c>
      <c r="AI157" s="23" t="n">
        <f aca="false">Y157</f>
        <v>0.324723247232472</v>
      </c>
      <c r="AJ157" s="23" t="n">
        <f aca="false">Z157</f>
        <v>0.236162361623616</v>
      </c>
      <c r="AK157" s="23" t="n">
        <f aca="false">AA157</f>
        <v>0.151291512915129</v>
      </c>
    </row>
    <row r="158" customFormat="false" ht="15" hidden="false" customHeight="true" outlineLevel="0" collapsed="false">
      <c r="A158" s="22" t="n">
        <f aca="false">aci!H159</f>
        <v>170</v>
      </c>
      <c r="B158" s="22" t="n">
        <f aca="false">apexfoot!H159</f>
        <v>246.7</v>
      </c>
      <c r="C158" s="22" t="n">
        <f aca="false">bxpharma!H159</f>
        <v>88</v>
      </c>
      <c r="D158" s="22" t="n">
        <f aca="false">batbc!H159</f>
        <v>430.6</v>
      </c>
      <c r="E158" s="6" t="n">
        <f aca="false">LN(A157/A158)</f>
        <v>-0.00708385488840493</v>
      </c>
      <c r="F158" s="6" t="n">
        <f aca="false">LN(B157/B158)</f>
        <v>-0.0110047982421091</v>
      </c>
      <c r="G158" s="6" t="n">
        <f aca="false">LN(C157/C158)</f>
        <v>-0.0299907136836822</v>
      </c>
      <c r="H158" s="6" t="n">
        <f aca="false">LN(D157/D158)</f>
        <v>-0.00629006150749158</v>
      </c>
      <c r="I158" s="6" t="n">
        <f aca="false">E158-$I$2</f>
        <v>-0.00749699048162527</v>
      </c>
      <c r="J158" s="6" t="n">
        <f aca="false">F158-$J$2</f>
        <v>-0.0114179338353294</v>
      </c>
      <c r="K158" s="6" t="n">
        <f aca="false">G158-$K$2</f>
        <v>-0.0304038492769025</v>
      </c>
      <c r="L158" s="6" t="n">
        <f aca="false">H158-$L$2</f>
        <v>-0.00670319710071192</v>
      </c>
      <c r="S158" s="9" t="n">
        <v>0.42</v>
      </c>
      <c r="T158" s="9" t="n">
        <v>0.03</v>
      </c>
      <c r="U158" s="9" t="n">
        <v>0.51</v>
      </c>
      <c r="V158" s="9" t="n">
        <v>0.68</v>
      </c>
      <c r="W158" s="22" t="n">
        <f aca="false">SUM(S158:V158)</f>
        <v>1.64</v>
      </c>
      <c r="X158" s="23" t="n">
        <f aca="false">S158/$W158</f>
        <v>0.25609756097561</v>
      </c>
      <c r="Y158" s="23" t="n">
        <f aca="false">T158/$W158</f>
        <v>0.0182926829268293</v>
      </c>
      <c r="Z158" s="23" t="n">
        <f aca="false">U158/$W158</f>
        <v>0.310975609756098</v>
      </c>
      <c r="AA158" s="23" t="n">
        <f aca="false">V158/$W158</f>
        <v>0.414634146341463</v>
      </c>
      <c r="AB158" s="23" t="n">
        <f aca="false">SUM(X158:AA158)</f>
        <v>1</v>
      </c>
      <c r="AC158" s="6" t="n">
        <f aca="false" t="array" ref="AC158:AC158">MMULT(MMULT(X158:AA158,$N$2:$Q$5),TRANSPOSE(X158:AA158))</f>
        <v>0.000267422117609963</v>
      </c>
      <c r="AD158" s="6" t="n">
        <f aca="false">SUMPRODUCT(X158:AA158,$E$237:$H$237)</f>
        <v>-0.000265831151688566</v>
      </c>
      <c r="AE158" s="24" t="n">
        <f aca="false">(AD158-$I$2)/SQRT(AC158)</f>
        <v>-0.0415192826867646</v>
      </c>
      <c r="AF158" s="6" t="n">
        <f aca="false">AD158</f>
        <v>-0.000265831151688566</v>
      </c>
      <c r="AG158" s="6" t="n">
        <f aca="false">AC158</f>
        <v>0.000267422117609963</v>
      </c>
      <c r="AH158" s="23" t="n">
        <f aca="false">X158</f>
        <v>0.25609756097561</v>
      </c>
      <c r="AI158" s="23" t="n">
        <f aca="false">Y158</f>
        <v>0.0182926829268293</v>
      </c>
      <c r="AJ158" s="23" t="n">
        <f aca="false">Z158</f>
        <v>0.310975609756098</v>
      </c>
      <c r="AK158" s="23" t="n">
        <f aca="false">AA158</f>
        <v>0.414634146341463</v>
      </c>
    </row>
    <row r="159" customFormat="false" ht="15" hidden="false" customHeight="true" outlineLevel="0" collapsed="false">
      <c r="A159" s="22" t="n">
        <f aca="false">aci!H160</f>
        <v>175.1</v>
      </c>
      <c r="B159" s="22" t="n">
        <f aca="false">apexfoot!H160</f>
        <v>246.6</v>
      </c>
      <c r="C159" s="22" t="n">
        <f aca="false">bxpharma!H160</f>
        <v>87.9</v>
      </c>
      <c r="D159" s="22" t="n">
        <f aca="false">batbc!H160</f>
        <v>411.1</v>
      </c>
      <c r="E159" s="6" t="n">
        <f aca="false">LN(A158/A159)</f>
        <v>-0.0295588022415444</v>
      </c>
      <c r="F159" s="6" t="n">
        <f aca="false">LN(B158/B159)</f>
        <v>0.000405432805067109</v>
      </c>
      <c r="G159" s="6" t="n">
        <f aca="false">LN(C158/C159)</f>
        <v>0.0011370097870751</v>
      </c>
      <c r="H159" s="6" t="n">
        <f aca="false">LN(D158/D159)</f>
        <v>0.0463430910264299</v>
      </c>
      <c r="I159" s="6" t="n">
        <f aca="false">E159-$I$2</f>
        <v>-0.0299719378347647</v>
      </c>
      <c r="J159" s="6" t="n">
        <f aca="false">F159-$J$2</f>
        <v>-7.70278815322997E-006</v>
      </c>
      <c r="K159" s="6" t="n">
        <f aca="false">G159-$K$2</f>
        <v>0.000723874193854763</v>
      </c>
      <c r="L159" s="6" t="n">
        <f aca="false">H159-$L$2</f>
        <v>0.0459299554332095</v>
      </c>
      <c r="S159" s="9" t="n">
        <v>0.77</v>
      </c>
      <c r="T159" s="9" t="n">
        <v>0.15</v>
      </c>
      <c r="U159" s="9" t="n">
        <v>0.55</v>
      </c>
      <c r="V159" s="9" t="n">
        <v>0.5</v>
      </c>
      <c r="W159" s="22" t="n">
        <f aca="false">SUM(S159:V159)</f>
        <v>1.97</v>
      </c>
      <c r="X159" s="23" t="n">
        <f aca="false">S159/$W159</f>
        <v>0.390862944162437</v>
      </c>
      <c r="Y159" s="23" t="n">
        <f aca="false">T159/$W159</f>
        <v>0.0761421319796954</v>
      </c>
      <c r="Z159" s="23" t="n">
        <f aca="false">U159/$W159</f>
        <v>0.279187817258883</v>
      </c>
      <c r="AA159" s="23" t="n">
        <f aca="false">V159/$W159</f>
        <v>0.253807106598985</v>
      </c>
      <c r="AB159" s="23" t="n">
        <f aca="false">SUM(X159:AA159)</f>
        <v>1</v>
      </c>
      <c r="AC159" s="6" t="n">
        <f aca="false" t="array" ref="AC159:AC159">MMULT(MMULT(X159:AA159,$N$2:$Q$5),TRANSPOSE(X159:AA159))</f>
        <v>0.000298323647921445</v>
      </c>
      <c r="AD159" s="6" t="n">
        <f aca="false">SUMPRODUCT(X159:AA159,$E$237:$H$237)</f>
        <v>1.68639302267804E-005</v>
      </c>
      <c r="AE159" s="24" t="n">
        <f aca="false">(AD159-$I$2)/SQRT(AC159)</f>
        <v>-0.0229429456852288</v>
      </c>
      <c r="AF159" s="6" t="n">
        <f aca="false">AD159</f>
        <v>1.68639302267804E-005</v>
      </c>
      <c r="AG159" s="6" t="n">
        <f aca="false">AC159</f>
        <v>0.000298323647921445</v>
      </c>
      <c r="AH159" s="23" t="n">
        <f aca="false">X159</f>
        <v>0.390862944162437</v>
      </c>
      <c r="AI159" s="23" t="n">
        <f aca="false">Y159</f>
        <v>0.0761421319796954</v>
      </c>
      <c r="AJ159" s="23" t="n">
        <f aca="false">Z159</f>
        <v>0.279187817258883</v>
      </c>
      <c r="AK159" s="23" t="n">
        <f aca="false">AA159</f>
        <v>0.253807106598985</v>
      </c>
    </row>
    <row r="160" customFormat="false" ht="15" hidden="false" customHeight="true" outlineLevel="0" collapsed="false">
      <c r="A160" s="22" t="n">
        <f aca="false">aci!H161</f>
        <v>180.5</v>
      </c>
      <c r="B160" s="22" t="n">
        <f aca="false">apexfoot!H161</f>
        <v>248</v>
      </c>
      <c r="C160" s="22" t="n">
        <f aca="false">bxpharma!H161</f>
        <v>90.6</v>
      </c>
      <c r="D160" s="22" t="n">
        <f aca="false">batbc!H161</f>
        <v>416.9</v>
      </c>
      <c r="E160" s="6" t="n">
        <f aca="false">LN(A159/A160)</f>
        <v>-0.0303735384811295</v>
      </c>
      <c r="F160" s="6" t="n">
        <f aca="false">LN(B159/B160)</f>
        <v>-0.00566115543473822</v>
      </c>
      <c r="G160" s="6" t="n">
        <f aca="false">LN(C159/C160)</f>
        <v>-0.0302544083578023</v>
      </c>
      <c r="H160" s="6" t="n">
        <f aca="false">LN(D159/D160)</f>
        <v>-0.0140098909829184</v>
      </c>
      <c r="I160" s="6" t="n">
        <f aca="false">E160-$I$2</f>
        <v>-0.0307866740743499</v>
      </c>
      <c r="J160" s="6" t="n">
        <f aca="false">F160-$J$2</f>
        <v>-0.00607429102795856</v>
      </c>
      <c r="K160" s="6" t="n">
        <f aca="false">G160-$K$2</f>
        <v>-0.0306675439510226</v>
      </c>
      <c r="L160" s="6" t="n">
        <f aca="false">H160-$L$2</f>
        <v>-0.0144230265761388</v>
      </c>
      <c r="S160" s="9" t="n">
        <v>0.83</v>
      </c>
      <c r="T160" s="9" t="n">
        <v>0.6</v>
      </c>
      <c r="U160" s="9" t="n">
        <v>0.09</v>
      </c>
      <c r="V160" s="9" t="n">
        <v>0.44</v>
      </c>
      <c r="W160" s="22" t="n">
        <f aca="false">SUM(S160:V160)</f>
        <v>1.96</v>
      </c>
      <c r="X160" s="23" t="n">
        <f aca="false">S160/$W160</f>
        <v>0.423469387755102</v>
      </c>
      <c r="Y160" s="23" t="n">
        <f aca="false">T160/$W160</f>
        <v>0.306122448979592</v>
      </c>
      <c r="Z160" s="23" t="n">
        <f aca="false">U160/$W160</f>
        <v>0.0459183673469388</v>
      </c>
      <c r="AA160" s="23" t="n">
        <f aca="false">V160/$W160</f>
        <v>0.224489795918367</v>
      </c>
      <c r="AB160" s="23" t="n">
        <f aca="false">SUM(X160:AA160)</f>
        <v>1</v>
      </c>
      <c r="AC160" s="6" t="n">
        <f aca="false" t="array" ref="AC160:AC160">MMULT(MMULT(X160:AA160,$N$2:$Q$5),TRANSPOSE(X160:AA160))</f>
        <v>0.000295881893887778</v>
      </c>
      <c r="AD160" s="6" t="n">
        <f aca="false">SUMPRODUCT(X160:AA160,$E$237:$H$237)</f>
        <v>2.76161552189009E-005</v>
      </c>
      <c r="AE160" s="24" t="n">
        <f aca="false">(AD160-$I$2)/SQRT(AC160)</f>
        <v>-0.022412333965461</v>
      </c>
      <c r="AF160" s="6" t="n">
        <f aca="false">AD160</f>
        <v>2.76161552189009E-005</v>
      </c>
      <c r="AG160" s="6" t="n">
        <f aca="false">AC160</f>
        <v>0.000295881893887778</v>
      </c>
      <c r="AH160" s="23" t="n">
        <f aca="false">X160</f>
        <v>0.423469387755102</v>
      </c>
      <c r="AI160" s="23" t="n">
        <f aca="false">Y160</f>
        <v>0.306122448979592</v>
      </c>
      <c r="AJ160" s="23" t="n">
        <f aca="false">Z160</f>
        <v>0.0459183673469388</v>
      </c>
      <c r="AK160" s="23" t="n">
        <f aca="false">AA160</f>
        <v>0.224489795918367</v>
      </c>
    </row>
    <row r="161" customFormat="false" ht="15" hidden="false" customHeight="true" outlineLevel="0" collapsed="false">
      <c r="A161" s="22" t="n">
        <f aca="false">aci!H162</f>
        <v>176</v>
      </c>
      <c r="B161" s="22" t="n">
        <f aca="false">apexfoot!H162</f>
        <v>255.6</v>
      </c>
      <c r="C161" s="22" t="n">
        <f aca="false">bxpharma!H162</f>
        <v>93.4</v>
      </c>
      <c r="D161" s="22" t="n">
        <f aca="false">batbc!H162</f>
        <v>426.5</v>
      </c>
      <c r="E161" s="6" t="n">
        <f aca="false">LN(A160/A161)</f>
        <v>0.0252467827347839</v>
      </c>
      <c r="F161" s="6" t="n">
        <f aca="false">LN(B160/B161)</f>
        <v>-0.0301849763383976</v>
      </c>
      <c r="G161" s="6" t="n">
        <f aca="false">LN(C160/C161)</f>
        <v>-0.0304371321858634</v>
      </c>
      <c r="H161" s="6" t="n">
        <f aca="false">LN(D160/D161)</f>
        <v>-0.0227659820449827</v>
      </c>
      <c r="I161" s="6" t="n">
        <f aca="false">E161-$I$2</f>
        <v>0.0248336471415636</v>
      </c>
      <c r="J161" s="6" t="n">
        <f aca="false">F161-$J$2</f>
        <v>-0.0305981119316179</v>
      </c>
      <c r="K161" s="6" t="n">
        <f aca="false">G161-$K$2</f>
        <v>-0.0308502677790838</v>
      </c>
      <c r="L161" s="6" t="n">
        <f aca="false">H161-$L$2</f>
        <v>-0.0231791176382031</v>
      </c>
      <c r="S161" s="9" t="n">
        <v>0.14</v>
      </c>
      <c r="T161" s="9" t="n">
        <v>0.44</v>
      </c>
      <c r="U161" s="9" t="n">
        <v>0.46</v>
      </c>
      <c r="V161" s="9" t="n">
        <v>0.03</v>
      </c>
      <c r="W161" s="22" t="n">
        <f aca="false">SUM(S161:V161)</f>
        <v>1.07</v>
      </c>
      <c r="X161" s="23" t="n">
        <f aca="false">S161/$W161</f>
        <v>0.130841121495327</v>
      </c>
      <c r="Y161" s="23" t="n">
        <f aca="false">T161/$W161</f>
        <v>0.411214953271028</v>
      </c>
      <c r="Z161" s="23" t="n">
        <f aca="false">U161/$W161</f>
        <v>0.429906542056075</v>
      </c>
      <c r="AA161" s="23" t="n">
        <f aca="false">V161/$W161</f>
        <v>0.0280373831775701</v>
      </c>
      <c r="AB161" s="23" t="n">
        <f aca="false">SUM(X161:AA161)</f>
        <v>1</v>
      </c>
      <c r="AC161" s="6" t="n">
        <f aca="false" t="array" ref="AC161:AC161">MMULT(MMULT(X161:AA161,$N$2:$Q$5),TRANSPOSE(X161:AA161))</f>
        <v>0.00023867621906696</v>
      </c>
      <c r="AD161" s="6" t="n">
        <f aca="false">SUMPRODUCT(X161:AA161,$E$237:$H$237)</f>
        <v>-0.000322025603210652</v>
      </c>
      <c r="AE161" s="24" t="n">
        <f aca="false">(AD161-$I$2)/SQRT(AC161)</f>
        <v>-0.0475858686129569</v>
      </c>
      <c r="AF161" s="6" t="n">
        <f aca="false">AD161</f>
        <v>-0.000322025603210652</v>
      </c>
      <c r="AG161" s="6" t="n">
        <f aca="false">AC161</f>
        <v>0.00023867621906696</v>
      </c>
      <c r="AH161" s="23" t="n">
        <f aca="false">X161</f>
        <v>0.130841121495327</v>
      </c>
      <c r="AI161" s="23" t="n">
        <f aca="false">Y161</f>
        <v>0.411214953271028</v>
      </c>
      <c r="AJ161" s="23" t="n">
        <f aca="false">Z161</f>
        <v>0.429906542056075</v>
      </c>
      <c r="AK161" s="23" t="n">
        <f aca="false">AA161</f>
        <v>0.0280373831775701</v>
      </c>
    </row>
    <row r="162" customFormat="false" ht="15" hidden="false" customHeight="true" outlineLevel="0" collapsed="false">
      <c r="A162" s="22" t="n">
        <f aca="false">aci!H163</f>
        <v>160</v>
      </c>
      <c r="B162" s="22" t="n">
        <f aca="false">apexfoot!H163</f>
        <v>263.3</v>
      </c>
      <c r="C162" s="22" t="n">
        <f aca="false">bxpharma!H163</f>
        <v>96.2</v>
      </c>
      <c r="D162" s="22" t="n">
        <f aca="false">batbc!H163</f>
        <v>408.9</v>
      </c>
      <c r="E162" s="6" t="n">
        <f aca="false">LN(A161/A162)</f>
        <v>0.0953101798043249</v>
      </c>
      <c r="F162" s="6" t="n">
        <f aca="false">LN(B161/B162)</f>
        <v>-0.0296803439988841</v>
      </c>
      <c r="G162" s="6" t="n">
        <f aca="false">LN(C161/C162)</f>
        <v>-0.0295380124368639</v>
      </c>
      <c r="H162" s="6" t="n">
        <f aca="false">LN(D161/D162)</f>
        <v>0.0421417395611373</v>
      </c>
      <c r="I162" s="6" t="n">
        <f aca="false">E162-$I$2</f>
        <v>0.0948970442111046</v>
      </c>
      <c r="J162" s="6" t="n">
        <f aca="false">F162-$J$2</f>
        <v>-0.0300934795921044</v>
      </c>
      <c r="K162" s="6" t="n">
        <f aca="false">G162-$K$2</f>
        <v>-0.0299511480300842</v>
      </c>
      <c r="L162" s="6" t="n">
        <f aca="false">H162-$L$2</f>
        <v>0.041728603967917</v>
      </c>
      <c r="S162" s="9" t="n">
        <v>0.03</v>
      </c>
      <c r="T162" s="9" t="n">
        <v>0.48</v>
      </c>
      <c r="U162" s="9" t="n">
        <v>0.65</v>
      </c>
      <c r="V162" s="9" t="n">
        <v>0.15</v>
      </c>
      <c r="W162" s="22" t="n">
        <f aca="false">SUM(S162:V162)</f>
        <v>1.31</v>
      </c>
      <c r="X162" s="23" t="n">
        <f aca="false">S162/$W162</f>
        <v>0.0229007633587786</v>
      </c>
      <c r="Y162" s="23" t="n">
        <f aca="false">T162/$W162</f>
        <v>0.366412213740458</v>
      </c>
      <c r="Z162" s="23" t="n">
        <f aca="false">U162/$W162</f>
        <v>0.49618320610687</v>
      </c>
      <c r="AA162" s="23" t="n">
        <f aca="false">V162/$W162</f>
        <v>0.114503816793893</v>
      </c>
      <c r="AB162" s="23" t="n">
        <f aca="false">SUM(X162:AA162)</f>
        <v>1</v>
      </c>
      <c r="AC162" s="6" t="n">
        <f aca="false" t="array" ref="AC162:AC162">MMULT(MMULT(X162:AA162,$N$2:$Q$5),TRANSPOSE(X162:AA162))</f>
        <v>0.000240693122490813</v>
      </c>
      <c r="AD162" s="6" t="n">
        <f aca="false">SUMPRODUCT(X162:AA162,$E$237:$H$237)</f>
        <v>-0.000524002840990534</v>
      </c>
      <c r="AE162" s="24" t="n">
        <f aca="false">(AD162-$I$2)/SQRT(AC162)</f>
        <v>-0.0604048637622906</v>
      </c>
      <c r="AF162" s="6" t="n">
        <f aca="false">AD162</f>
        <v>-0.000524002840990534</v>
      </c>
      <c r="AG162" s="6" t="n">
        <f aca="false">AC162</f>
        <v>0.000240693122490813</v>
      </c>
      <c r="AH162" s="23" t="n">
        <f aca="false">X162</f>
        <v>0.0229007633587786</v>
      </c>
      <c r="AI162" s="23" t="n">
        <f aca="false">Y162</f>
        <v>0.366412213740458</v>
      </c>
      <c r="AJ162" s="23" t="n">
        <f aca="false">Z162</f>
        <v>0.49618320610687</v>
      </c>
      <c r="AK162" s="23" t="n">
        <f aca="false">AA162</f>
        <v>0.114503816793893</v>
      </c>
    </row>
    <row r="163" customFormat="false" ht="15" hidden="false" customHeight="true" outlineLevel="0" collapsed="false">
      <c r="A163" s="22" t="n">
        <f aca="false">aci!H164</f>
        <v>145.5</v>
      </c>
      <c r="B163" s="22" t="n">
        <f aca="false">apexfoot!H164</f>
        <v>247.5</v>
      </c>
      <c r="C163" s="22" t="n">
        <f aca="false">bxpharma!H164</f>
        <v>99.1</v>
      </c>
      <c r="D163" s="22" t="n">
        <f aca="false">batbc!H164</f>
        <v>376.1</v>
      </c>
      <c r="E163" s="6" t="n">
        <f aca="false">LN(A162/A163)</f>
        <v>0.0949977286222798</v>
      </c>
      <c r="F163" s="6" t="n">
        <f aca="false">LN(B162/B163)</f>
        <v>0.0618834844935187</v>
      </c>
      <c r="G163" s="6" t="n">
        <f aca="false">LN(C162/C163)</f>
        <v>-0.0297000836642814</v>
      </c>
      <c r="H163" s="6" t="n">
        <f aca="false">LN(D162/D163)</f>
        <v>0.0836155618943058</v>
      </c>
      <c r="I163" s="6" t="n">
        <f aca="false">E163-$I$2</f>
        <v>0.0945845930290595</v>
      </c>
      <c r="J163" s="6" t="n">
        <f aca="false">F163-$J$2</f>
        <v>0.0614703489002984</v>
      </c>
      <c r="K163" s="6" t="n">
        <f aca="false">G163-$K$2</f>
        <v>-0.0301132192575017</v>
      </c>
      <c r="L163" s="6" t="n">
        <f aca="false">H163-$L$2</f>
        <v>0.0832024263010854</v>
      </c>
      <c r="S163" s="9" t="n">
        <v>0.59</v>
      </c>
      <c r="T163" s="9" t="n">
        <v>0.31</v>
      </c>
      <c r="U163" s="9" t="n">
        <v>0.5</v>
      </c>
      <c r="V163" s="9" t="n">
        <v>0.91</v>
      </c>
      <c r="W163" s="22" t="n">
        <f aca="false">SUM(S163:V163)</f>
        <v>2.31</v>
      </c>
      <c r="X163" s="23" t="n">
        <f aca="false">S163/$W163</f>
        <v>0.255411255411255</v>
      </c>
      <c r="Y163" s="23" t="n">
        <f aca="false">T163/$W163</f>
        <v>0.134199134199134</v>
      </c>
      <c r="Z163" s="23" t="n">
        <f aca="false">U163/$W163</f>
        <v>0.216450216450216</v>
      </c>
      <c r="AA163" s="23" t="n">
        <f aca="false">V163/$W163</f>
        <v>0.393939393939394</v>
      </c>
      <c r="AB163" s="23" t="n">
        <f aca="false">SUM(X163:AA163)</f>
        <v>1</v>
      </c>
      <c r="AC163" s="6" t="n">
        <f aca="false" t="array" ref="AC163:AC163">MMULT(MMULT(X163:AA163,$N$2:$Q$5),TRANSPOSE(X163:AA163))</f>
        <v>0.000245836935074925</v>
      </c>
      <c r="AD163" s="6" t="n">
        <f aca="false">SUMPRODUCT(X163:AA163,$E$237:$H$237)</f>
        <v>-0.000282652389683722</v>
      </c>
      <c r="AE163" s="24" t="n">
        <f aca="false">(AD163-$I$2)/SQRT(AC163)</f>
        <v>-0.044376531788087</v>
      </c>
      <c r="AF163" s="6" t="n">
        <f aca="false">AD163</f>
        <v>-0.000282652389683722</v>
      </c>
      <c r="AG163" s="6" t="n">
        <f aca="false">AC163</f>
        <v>0.000245836935074925</v>
      </c>
      <c r="AH163" s="23" t="n">
        <f aca="false">X163</f>
        <v>0.255411255411255</v>
      </c>
      <c r="AI163" s="23" t="n">
        <f aca="false">Y163</f>
        <v>0.134199134199134</v>
      </c>
      <c r="AJ163" s="23" t="n">
        <f aca="false">Z163</f>
        <v>0.216450216450216</v>
      </c>
      <c r="AK163" s="23" t="n">
        <f aca="false">AA163</f>
        <v>0.393939393939394</v>
      </c>
    </row>
    <row r="164" customFormat="false" ht="15" hidden="false" customHeight="true" outlineLevel="0" collapsed="false">
      <c r="A164" s="22" t="n">
        <f aca="false">aci!H165</f>
        <v>132.3</v>
      </c>
      <c r="B164" s="22" t="n">
        <f aca="false">apexfoot!H165</f>
        <v>237.3</v>
      </c>
      <c r="C164" s="22" t="n">
        <f aca="false">bxpharma!H165</f>
        <v>102.1</v>
      </c>
      <c r="D164" s="22" t="n">
        <f aca="false">batbc!H165</f>
        <v>346.2</v>
      </c>
      <c r="E164" s="6" t="n">
        <f aca="false">LN(A163/A164)</f>
        <v>0.0951040154906372</v>
      </c>
      <c r="F164" s="6" t="n">
        <f aca="false">LN(B163/B164)</f>
        <v>0.042085418567027</v>
      </c>
      <c r="G164" s="6" t="n">
        <f aca="false">LN(C163/C164)</f>
        <v>-0.0298232838346776</v>
      </c>
      <c r="H164" s="6" t="n">
        <f aca="false">LN(D163/D164)</f>
        <v>0.0828384227341818</v>
      </c>
      <c r="I164" s="6" t="n">
        <f aca="false">E164-$I$2</f>
        <v>0.0946908798974168</v>
      </c>
      <c r="J164" s="6" t="n">
        <f aca="false">F164-$J$2</f>
        <v>0.0416722829738067</v>
      </c>
      <c r="K164" s="6" t="n">
        <f aca="false">G164-$K$2</f>
        <v>-0.0302364194278979</v>
      </c>
      <c r="L164" s="6" t="n">
        <f aca="false">H164-$L$2</f>
        <v>0.0824252871409615</v>
      </c>
      <c r="S164" s="9" t="n">
        <v>0.03</v>
      </c>
      <c r="T164" s="9" t="n">
        <v>0.75</v>
      </c>
      <c r="U164" s="9" t="n">
        <v>0.85</v>
      </c>
      <c r="V164" s="9" t="n">
        <v>0.1</v>
      </c>
      <c r="W164" s="22" t="n">
        <f aca="false">SUM(S164:V164)</f>
        <v>1.73</v>
      </c>
      <c r="X164" s="23" t="n">
        <f aca="false">S164/$W164</f>
        <v>0.0173410404624277</v>
      </c>
      <c r="Y164" s="23" t="n">
        <f aca="false">T164/$W164</f>
        <v>0.433526011560694</v>
      </c>
      <c r="Z164" s="23" t="n">
        <f aca="false">U164/$W164</f>
        <v>0.491329479768786</v>
      </c>
      <c r="AA164" s="23" t="n">
        <f aca="false">V164/$W164</f>
        <v>0.0578034682080925</v>
      </c>
      <c r="AB164" s="23" t="n">
        <f aca="false">SUM(X164:AA164)</f>
        <v>1</v>
      </c>
      <c r="AC164" s="6" t="n">
        <f aca="false" t="array" ref="AC164:AC164">MMULT(MMULT(X164:AA164,$N$2:$Q$5),TRANSPOSE(X164:AA164))</f>
        <v>0.000245316295258851</v>
      </c>
      <c r="AD164" s="6" t="n">
        <f aca="false">SUMPRODUCT(X164:AA164,$E$237:$H$237)</f>
        <v>-0.000515290522363541</v>
      </c>
      <c r="AE164" s="24" t="n">
        <f aca="false">(AD164-$I$2)/SQRT(AC164)</f>
        <v>-0.0592767179467755</v>
      </c>
      <c r="AF164" s="6" t="n">
        <f aca="false">AD164</f>
        <v>-0.000515290522363541</v>
      </c>
      <c r="AG164" s="6" t="n">
        <f aca="false">AC164</f>
        <v>0.000245316295258851</v>
      </c>
      <c r="AH164" s="23" t="n">
        <f aca="false">X164</f>
        <v>0.0173410404624277</v>
      </c>
      <c r="AI164" s="23" t="n">
        <f aca="false">Y164</f>
        <v>0.433526011560694</v>
      </c>
      <c r="AJ164" s="23" t="n">
        <f aca="false">Z164</f>
        <v>0.491329479768786</v>
      </c>
      <c r="AK164" s="23" t="n">
        <f aca="false">AA164</f>
        <v>0.0578034682080925</v>
      </c>
    </row>
    <row r="165" customFormat="false" ht="15" hidden="false" customHeight="true" outlineLevel="0" collapsed="false">
      <c r="A165" s="22" t="n">
        <f aca="false">aci!H166</f>
        <v>120.3</v>
      </c>
      <c r="B165" s="22" t="n">
        <f aca="false">apexfoot!H166</f>
        <v>223.1</v>
      </c>
      <c r="C165" s="22" t="n">
        <f aca="false">bxpharma!H166</f>
        <v>105.2</v>
      </c>
      <c r="D165" s="22" t="n">
        <f aca="false">batbc!H166</f>
        <v>322.1</v>
      </c>
      <c r="E165" s="6" t="n">
        <f aca="false">LN(A164/A165)</f>
        <v>0.095083448140277</v>
      </c>
      <c r="F165" s="6" t="n">
        <f aca="false">LN(B164/B165)</f>
        <v>0.0617050620032312</v>
      </c>
      <c r="G165" s="6" t="n">
        <f aca="false">LN(C164/C165)</f>
        <v>-0.0299105751329897</v>
      </c>
      <c r="H165" s="6" t="n">
        <f aca="false">LN(D164/D165)</f>
        <v>0.0721545864049556</v>
      </c>
      <c r="I165" s="6" t="n">
        <f aca="false">E165-$I$2</f>
        <v>0.0946703125470567</v>
      </c>
      <c r="J165" s="6" t="n">
        <f aca="false">F165-$J$2</f>
        <v>0.0612919264100109</v>
      </c>
      <c r="K165" s="6" t="n">
        <f aca="false">G165-$K$2</f>
        <v>-0.0303237107262101</v>
      </c>
      <c r="L165" s="6" t="n">
        <f aca="false">H165-$L$2</f>
        <v>0.0717414508117353</v>
      </c>
      <c r="S165" s="9" t="n">
        <v>0.23</v>
      </c>
      <c r="T165" s="9" t="n">
        <v>0.03</v>
      </c>
      <c r="U165" s="9" t="n">
        <v>0.07</v>
      </c>
      <c r="V165" s="9" t="n">
        <v>0.87</v>
      </c>
      <c r="W165" s="22" t="n">
        <f aca="false">SUM(S165:V165)</f>
        <v>1.2</v>
      </c>
      <c r="X165" s="23" t="n">
        <f aca="false">S165/$W165</f>
        <v>0.191666666666667</v>
      </c>
      <c r="Y165" s="23" t="n">
        <f aca="false">T165/$W165</f>
        <v>0.025</v>
      </c>
      <c r="Z165" s="23" t="n">
        <f aca="false">U165/$W165</f>
        <v>0.0583333333333333</v>
      </c>
      <c r="AA165" s="23" t="n">
        <f aca="false">V165/$W165</f>
        <v>0.725</v>
      </c>
      <c r="AB165" s="23" t="n">
        <f aca="false">SUM(X165:AA165)</f>
        <v>1</v>
      </c>
      <c r="AC165" s="6" t="n">
        <f aca="false" t="array" ref="AC165:AC165">MMULT(MMULT(X165:AA165,$N$2:$Q$5),TRANSPOSE(X165:AA165))</f>
        <v>0.000295055875018379</v>
      </c>
      <c r="AD165" s="6" t="n">
        <f aca="false">SUMPRODUCT(X165:AA165,$E$237:$H$237)</f>
        <v>-0.00054608297115852</v>
      </c>
      <c r="AE165" s="24" t="n">
        <f aca="false">(AD165-$I$2)/SQRT(AC165)</f>
        <v>-0.0558425757615798</v>
      </c>
      <c r="AF165" s="6" t="n">
        <f aca="false">AD165</f>
        <v>-0.00054608297115852</v>
      </c>
      <c r="AG165" s="6" t="n">
        <f aca="false">AC165</f>
        <v>0.000295055875018379</v>
      </c>
      <c r="AH165" s="23" t="n">
        <f aca="false">X165</f>
        <v>0.191666666666667</v>
      </c>
      <c r="AI165" s="23" t="n">
        <f aca="false">Y165</f>
        <v>0.025</v>
      </c>
      <c r="AJ165" s="23" t="n">
        <f aca="false">Z165</f>
        <v>0.0583333333333333</v>
      </c>
      <c r="AK165" s="23" t="n">
        <f aca="false">AA165</f>
        <v>0.725</v>
      </c>
    </row>
    <row r="166" customFormat="false" ht="15" hidden="false" customHeight="true" outlineLevel="0" collapsed="false">
      <c r="A166" s="22" t="n">
        <f aca="false">aci!H167</f>
        <v>124</v>
      </c>
      <c r="B166" s="22" t="n">
        <f aca="false">apexfoot!H167</f>
        <v>229.9</v>
      </c>
      <c r="C166" s="22" t="n">
        <f aca="false">bxpharma!H167</f>
        <v>108.4</v>
      </c>
      <c r="D166" s="22" t="n">
        <f aca="false">batbc!H167</f>
        <v>332</v>
      </c>
      <c r="E166" s="6" t="n">
        <f aca="false">LN(A165/A166)</f>
        <v>-0.0302929426244037</v>
      </c>
      <c r="F166" s="6" t="n">
        <f aca="false">LN(B165/B166)</f>
        <v>-0.0300243303306491</v>
      </c>
      <c r="G166" s="6" t="n">
        <f aca="false">LN(C165/C166)</f>
        <v>-0.0299647887019364</v>
      </c>
      <c r="H166" s="6" t="n">
        <f aca="false">LN(D165/D166)</f>
        <v>-0.0302729125793353</v>
      </c>
      <c r="I166" s="6" t="n">
        <f aca="false">E166-$I$2</f>
        <v>-0.0307060782176241</v>
      </c>
      <c r="J166" s="6" t="n">
        <f aca="false">F166-$J$2</f>
        <v>-0.0304374659238694</v>
      </c>
      <c r="K166" s="6" t="n">
        <f aca="false">G166-$K$2</f>
        <v>-0.0303779242951567</v>
      </c>
      <c r="L166" s="6" t="n">
        <f aca="false">H166-$L$2</f>
        <v>-0.0306860481725557</v>
      </c>
      <c r="S166" s="9" t="n">
        <v>0.34</v>
      </c>
      <c r="T166" s="9" t="n">
        <v>0.69</v>
      </c>
      <c r="U166" s="9" t="n">
        <v>0.03</v>
      </c>
      <c r="V166" s="9" t="n">
        <v>0.73</v>
      </c>
      <c r="W166" s="22" t="n">
        <f aca="false">SUM(S166:V166)</f>
        <v>1.79</v>
      </c>
      <c r="X166" s="23" t="n">
        <f aca="false">S166/$W166</f>
        <v>0.189944134078212</v>
      </c>
      <c r="Y166" s="23" t="n">
        <f aca="false">T166/$W166</f>
        <v>0.385474860335196</v>
      </c>
      <c r="Z166" s="23" t="n">
        <f aca="false">U166/$W166</f>
        <v>0.0167597765363129</v>
      </c>
      <c r="AA166" s="23" t="n">
        <f aca="false">V166/$W166</f>
        <v>0.407821229050279</v>
      </c>
      <c r="AB166" s="23" t="n">
        <f aca="false">SUM(X166:AA166)</f>
        <v>1</v>
      </c>
      <c r="AC166" s="6" t="n">
        <f aca="false" t="array" ref="AC166:AC166">MMULT(MMULT(X166:AA166,$N$2:$Q$5),TRANSPOSE(X166:AA166))</f>
        <v>0.000238245895574306</v>
      </c>
      <c r="AD166" s="6" t="n">
        <f aca="false">SUMPRODUCT(X166:AA166,$E$237:$H$237)</f>
        <v>-0.000449625740372655</v>
      </c>
      <c r="AE166" s="24" t="n">
        <f aca="false">(AD166-$I$2)/SQRT(AC166)</f>
        <v>-0.0558956433697749</v>
      </c>
      <c r="AF166" s="6" t="n">
        <f aca="false">AD166</f>
        <v>-0.000449625740372655</v>
      </c>
      <c r="AG166" s="6" t="n">
        <f aca="false">AC166</f>
        <v>0.000238245895574306</v>
      </c>
      <c r="AH166" s="23" t="n">
        <f aca="false">X166</f>
        <v>0.189944134078212</v>
      </c>
      <c r="AI166" s="23" t="n">
        <f aca="false">Y166</f>
        <v>0.385474860335196</v>
      </c>
      <c r="AJ166" s="23" t="n">
        <f aca="false">Z166</f>
        <v>0.0167597765363129</v>
      </c>
      <c r="AK166" s="23" t="n">
        <f aca="false">AA166</f>
        <v>0.407821229050279</v>
      </c>
    </row>
    <row r="167" customFormat="false" ht="15" hidden="false" customHeight="true" outlineLevel="0" collapsed="false">
      <c r="A167" s="22" t="n">
        <f aca="false">aci!H168</f>
        <v>123.3</v>
      </c>
      <c r="B167" s="22" t="n">
        <f aca="false">apexfoot!H168</f>
        <v>228</v>
      </c>
      <c r="C167" s="22" t="n">
        <f aca="false">bxpharma!H168</f>
        <v>106.3</v>
      </c>
      <c r="D167" s="22" t="n">
        <f aca="false">batbc!H168</f>
        <v>329.8</v>
      </c>
      <c r="E167" s="6" t="n">
        <f aca="false">LN(A166/A167)</f>
        <v>0.00566115543473828</v>
      </c>
      <c r="F167" s="6" t="n">
        <f aca="false">LN(B166/B167)</f>
        <v>0.00829880281469506</v>
      </c>
      <c r="G167" s="6" t="n">
        <f aca="false">LN(C166/C167)</f>
        <v>0.0195628036576436</v>
      </c>
      <c r="H167" s="6" t="n">
        <f aca="false">LN(D166/D167)</f>
        <v>0.00664855879098999</v>
      </c>
      <c r="I167" s="6" t="n">
        <f aca="false">E167-$I$2</f>
        <v>0.00524801984151794</v>
      </c>
      <c r="J167" s="6" t="n">
        <f aca="false">F167-$J$2</f>
        <v>0.00788566722147473</v>
      </c>
      <c r="K167" s="6" t="n">
        <f aca="false">G167-$K$2</f>
        <v>0.0191496680644232</v>
      </c>
      <c r="L167" s="6" t="n">
        <f aca="false">H167-$L$2</f>
        <v>0.00623542319776965</v>
      </c>
      <c r="S167" s="9" t="n">
        <v>0.06</v>
      </c>
      <c r="T167" s="9" t="n">
        <v>0.15</v>
      </c>
      <c r="U167" s="9" t="n">
        <v>0.35</v>
      </c>
      <c r="V167" s="9" t="n">
        <v>0.12</v>
      </c>
      <c r="W167" s="22" t="n">
        <f aca="false">SUM(S167:V167)</f>
        <v>0.68</v>
      </c>
      <c r="X167" s="23" t="n">
        <f aca="false">S167/$W167</f>
        <v>0.0882352941176471</v>
      </c>
      <c r="Y167" s="23" t="n">
        <f aca="false">T167/$W167</f>
        <v>0.220588235294118</v>
      </c>
      <c r="Z167" s="23" t="n">
        <f aca="false">U167/$W167</f>
        <v>0.514705882352941</v>
      </c>
      <c r="AA167" s="23" t="n">
        <f aca="false">V167/$W167</f>
        <v>0.176470588235294</v>
      </c>
      <c r="AB167" s="23" t="n">
        <f aca="false">SUM(X167:AA167)</f>
        <v>1</v>
      </c>
      <c r="AC167" s="6" t="n">
        <f aca="false" t="array" ref="AC167:AC167">MMULT(MMULT(X167:AA167,$N$2:$Q$5),TRANSPOSE(X167:AA167))</f>
        <v>0.000251226996915264</v>
      </c>
      <c r="AD167" s="6" t="n">
        <f aca="false">SUMPRODUCT(X167:AA167,$E$237:$H$237)</f>
        <v>-0.000427076463891797</v>
      </c>
      <c r="AE167" s="24" t="n">
        <f aca="false">(AD167-$I$2)/SQRT(AC167)</f>
        <v>-0.053009749984909</v>
      </c>
      <c r="AF167" s="6" t="n">
        <f aca="false">AD167</f>
        <v>-0.000427076463891797</v>
      </c>
      <c r="AG167" s="6" t="n">
        <f aca="false">AC167</f>
        <v>0.000251226996915264</v>
      </c>
      <c r="AH167" s="23" t="n">
        <f aca="false">X167</f>
        <v>0.0882352941176471</v>
      </c>
      <c r="AI167" s="23" t="n">
        <f aca="false">Y167</f>
        <v>0.220588235294118</v>
      </c>
      <c r="AJ167" s="23" t="n">
        <f aca="false">Z167</f>
        <v>0.514705882352941</v>
      </c>
      <c r="AK167" s="23" t="n">
        <f aca="false">AA167</f>
        <v>0.176470588235294</v>
      </c>
    </row>
    <row r="168" customFormat="false" ht="15" hidden="false" customHeight="true" outlineLevel="0" collapsed="false">
      <c r="A168" s="22" t="n">
        <f aca="false">aci!H169</f>
        <v>124.9</v>
      </c>
      <c r="B168" s="22" t="n">
        <f aca="false">apexfoot!H169</f>
        <v>226.7</v>
      </c>
      <c r="C168" s="22" t="n">
        <f aca="false">bxpharma!H169</f>
        <v>106.9</v>
      </c>
      <c r="D168" s="22" t="n">
        <f aca="false">batbc!H169</f>
        <v>328.3</v>
      </c>
      <c r="E168" s="6" t="n">
        <f aca="false">LN(A167/A168)</f>
        <v>-0.0128930069612334</v>
      </c>
      <c r="F168" s="6" t="n">
        <f aca="false">LN(B167/B168)</f>
        <v>0.00571807144095761</v>
      </c>
      <c r="G168" s="6" t="n">
        <f aca="false">LN(C167/C168)</f>
        <v>-0.00562853268309738</v>
      </c>
      <c r="H168" s="6" t="n">
        <f aca="false">LN(D167/D168)</f>
        <v>0.00455858561795145</v>
      </c>
      <c r="I168" s="6" t="n">
        <f aca="false">E168-$I$2</f>
        <v>-0.0133061425544538</v>
      </c>
      <c r="J168" s="6" t="n">
        <f aca="false">F168-$J$2</f>
        <v>0.00530493584773727</v>
      </c>
      <c r="K168" s="6" t="n">
        <f aca="false">G168-$K$2</f>
        <v>-0.00604166827631772</v>
      </c>
      <c r="L168" s="6" t="n">
        <f aca="false">H168-$L$2</f>
        <v>0.00414545002473111</v>
      </c>
      <c r="S168" s="9" t="n">
        <v>0.08</v>
      </c>
      <c r="T168" s="9" t="n">
        <v>0.66</v>
      </c>
      <c r="U168" s="9" t="n">
        <v>0.22</v>
      </c>
      <c r="V168" s="9" t="n">
        <v>0.78</v>
      </c>
      <c r="W168" s="22" t="n">
        <f aca="false">SUM(S168:V168)</f>
        <v>1.74</v>
      </c>
      <c r="X168" s="23" t="n">
        <f aca="false">S168/$W168</f>
        <v>0.0459770114942529</v>
      </c>
      <c r="Y168" s="23" t="n">
        <f aca="false">T168/$W168</f>
        <v>0.379310344827586</v>
      </c>
      <c r="Z168" s="23" t="n">
        <f aca="false">U168/$W168</f>
        <v>0.126436781609195</v>
      </c>
      <c r="AA168" s="23" t="n">
        <f aca="false">V168/$W168</f>
        <v>0.448275862068965</v>
      </c>
      <c r="AB168" s="23" t="n">
        <f aca="false">SUM(X168:AA168)</f>
        <v>1</v>
      </c>
      <c r="AC168" s="6" t="n">
        <f aca="false" t="array" ref="AC168:AC168">MMULT(MMULT(X168:AA168,$N$2:$Q$5),TRANSPOSE(X168:AA168))</f>
        <v>0.000204781304301692</v>
      </c>
      <c r="AD168" s="6" t="n">
        <f aca="false">SUMPRODUCT(X168:AA168,$E$237:$H$237)</f>
        <v>-0.000688049061097582</v>
      </c>
      <c r="AE168" s="24" t="n">
        <f aca="false">(AD168-$I$2)/SQRT(AC168)</f>
        <v>-0.0769511293852908</v>
      </c>
      <c r="AF168" s="6" t="n">
        <f aca="false">AD168</f>
        <v>-0.000688049061097582</v>
      </c>
      <c r="AG168" s="6" t="n">
        <f aca="false">AC168</f>
        <v>0.000204781304301692</v>
      </c>
      <c r="AH168" s="23" t="n">
        <f aca="false">X168</f>
        <v>0.0459770114942529</v>
      </c>
      <c r="AI168" s="23" t="n">
        <f aca="false">Y168</f>
        <v>0.379310344827586</v>
      </c>
      <c r="AJ168" s="23" t="n">
        <f aca="false">Z168</f>
        <v>0.126436781609195</v>
      </c>
      <c r="AK168" s="23" t="n">
        <f aca="false">AA168</f>
        <v>0.448275862068965</v>
      </c>
    </row>
    <row r="169" customFormat="false" ht="15" hidden="false" customHeight="true" outlineLevel="0" collapsed="false">
      <c r="A169" s="22" t="n">
        <f aca="false">aci!H170</f>
        <v>127.5</v>
      </c>
      <c r="B169" s="22" t="n">
        <f aca="false">apexfoot!H170</f>
        <v>231.5</v>
      </c>
      <c r="C169" s="22" t="n">
        <f aca="false">bxpharma!H170</f>
        <v>109.1</v>
      </c>
      <c r="D169" s="22" t="n">
        <f aca="false">batbc!H170</f>
        <v>330.8</v>
      </c>
      <c r="E169" s="6" t="n">
        <f aca="false">LN(A168/A169)</f>
        <v>-0.0206029474669488</v>
      </c>
      <c r="F169" s="6" t="n">
        <f aca="false">LN(B168/B169)</f>
        <v>-0.0209523160128055</v>
      </c>
      <c r="G169" s="6" t="n">
        <f aca="false">LN(C168/C169)</f>
        <v>-0.0203710748080255</v>
      </c>
      <c r="H169" s="6" t="n">
        <f aca="false">LN(D168/D169)</f>
        <v>-0.00758613864198928</v>
      </c>
      <c r="I169" s="6" t="n">
        <f aca="false">E169-$I$2</f>
        <v>-0.0210160830601692</v>
      </c>
      <c r="J169" s="6" t="n">
        <f aca="false">F169-$J$2</f>
        <v>-0.0213654516060258</v>
      </c>
      <c r="K169" s="6" t="n">
        <f aca="false">G169-$K$2</f>
        <v>-0.0207842104012458</v>
      </c>
      <c r="L169" s="6" t="n">
        <f aca="false">H169-$L$2</f>
        <v>-0.00799927423520962</v>
      </c>
      <c r="S169" s="9" t="n">
        <v>0.17</v>
      </c>
      <c r="T169" s="9" t="n">
        <v>0.03</v>
      </c>
      <c r="U169" s="9" t="n">
        <v>0.11</v>
      </c>
      <c r="V169" s="9" t="n">
        <v>0.66</v>
      </c>
      <c r="W169" s="22" t="n">
        <f aca="false">SUM(S169:V169)</f>
        <v>0.97</v>
      </c>
      <c r="X169" s="23" t="n">
        <f aca="false">S169/$W169</f>
        <v>0.175257731958763</v>
      </c>
      <c r="Y169" s="23" t="n">
        <f aca="false">T169/$W169</f>
        <v>0.0309278350515464</v>
      </c>
      <c r="Z169" s="23" t="n">
        <f aca="false">U169/$W169</f>
        <v>0.11340206185567</v>
      </c>
      <c r="AA169" s="23" t="n">
        <f aca="false">V169/$W169</f>
        <v>0.680412371134021</v>
      </c>
      <c r="AB169" s="23" t="n">
        <f aca="false">SUM(X169:AA169)</f>
        <v>1</v>
      </c>
      <c r="AC169" s="6" t="n">
        <f aca="false" t="array" ref="AC169:AC169">MMULT(MMULT(X169:AA169,$N$2:$Q$5),TRANSPOSE(X169:AA169))</f>
        <v>0.000274016875177731</v>
      </c>
      <c r="AD169" s="6" t="n">
        <f aca="false">SUMPRODUCT(X169:AA169,$E$237:$H$237)</f>
        <v>-0.00054602391683156</v>
      </c>
      <c r="AE169" s="24" t="n">
        <f aca="false">(AD169-$I$2)/SQRT(AC169)</f>
        <v>-0.0579431608238377</v>
      </c>
      <c r="AF169" s="6" t="n">
        <f aca="false">AD169</f>
        <v>-0.00054602391683156</v>
      </c>
      <c r="AG169" s="6" t="n">
        <f aca="false">AC169</f>
        <v>0.000274016875177731</v>
      </c>
      <c r="AH169" s="23" t="n">
        <f aca="false">X169</f>
        <v>0.175257731958763</v>
      </c>
      <c r="AI169" s="23" t="n">
        <f aca="false">Y169</f>
        <v>0.0309278350515464</v>
      </c>
      <c r="AJ169" s="23" t="n">
        <f aca="false">Z169</f>
        <v>0.11340206185567</v>
      </c>
      <c r="AK169" s="23" t="n">
        <f aca="false">AA169</f>
        <v>0.680412371134021</v>
      </c>
    </row>
    <row r="170" customFormat="false" ht="15" hidden="false" customHeight="true" outlineLevel="0" collapsed="false">
      <c r="A170" s="22" t="n">
        <f aca="false">aci!H171</f>
        <v>129.3</v>
      </c>
      <c r="B170" s="22" t="n">
        <f aca="false">apexfoot!H171</f>
        <v>231</v>
      </c>
      <c r="C170" s="22" t="n">
        <f aca="false">bxpharma!H171</f>
        <v>112.4</v>
      </c>
      <c r="D170" s="22" t="n">
        <f aca="false">batbc!H171</f>
        <v>331.3</v>
      </c>
      <c r="E170" s="6" t="n">
        <f aca="false">LN(A169/A170)</f>
        <v>-0.014018921179331</v>
      </c>
      <c r="F170" s="6" t="n">
        <f aca="false">LN(B169/B170)</f>
        <v>0.00216216300449532</v>
      </c>
      <c r="G170" s="6" t="n">
        <f aca="false">LN(C169/C170)</f>
        <v>-0.0297990446205656</v>
      </c>
      <c r="H170" s="6" t="n">
        <f aca="false">LN(D169/D170)</f>
        <v>-0.00151034615631392</v>
      </c>
      <c r="I170" s="6" t="n">
        <f aca="false">E170-$I$2</f>
        <v>-0.0144320567725514</v>
      </c>
      <c r="J170" s="6" t="n">
        <f aca="false">F170-$J$2</f>
        <v>0.00174902741127498</v>
      </c>
      <c r="K170" s="6" t="n">
        <f aca="false">G170-$K$2</f>
        <v>-0.030212180213786</v>
      </c>
      <c r="L170" s="6" t="n">
        <f aca="false">H170-$L$2</f>
        <v>-0.00192348174953426</v>
      </c>
      <c r="S170" s="9" t="n">
        <v>0.4</v>
      </c>
      <c r="T170" s="9" t="n">
        <v>0.33</v>
      </c>
      <c r="U170" s="9" t="n">
        <v>0.01</v>
      </c>
      <c r="V170" s="9" t="n">
        <v>0.37</v>
      </c>
      <c r="W170" s="22" t="n">
        <f aca="false">SUM(S170:V170)</f>
        <v>1.11</v>
      </c>
      <c r="X170" s="23" t="n">
        <f aca="false">S170/$W170</f>
        <v>0.36036036036036</v>
      </c>
      <c r="Y170" s="23" t="n">
        <f aca="false">T170/$W170</f>
        <v>0.297297297297297</v>
      </c>
      <c r="Z170" s="23" t="n">
        <f aca="false">U170/$W170</f>
        <v>0.00900900900900901</v>
      </c>
      <c r="AA170" s="23" t="n">
        <f aca="false">V170/$W170</f>
        <v>0.333333333333333</v>
      </c>
      <c r="AB170" s="23" t="n">
        <f aca="false">SUM(X170:AA170)</f>
        <v>1</v>
      </c>
      <c r="AC170" s="6" t="n">
        <f aca="false" t="array" ref="AC170:AC170">MMULT(MMULT(X170:AA170,$N$2:$Q$5),TRANSPOSE(X170:AA170))</f>
        <v>0.000283976870840074</v>
      </c>
      <c r="AD170" s="6" t="n">
        <f aca="false">SUMPRODUCT(X170:AA170,$E$237:$H$237)</f>
        <v>-0.000128815054506832</v>
      </c>
      <c r="AE170" s="24" t="n">
        <f aca="false">(AD170-$I$2)/SQRT(AC170)</f>
        <v>-0.0321601640183071</v>
      </c>
      <c r="AF170" s="6" t="n">
        <f aca="false">AD170</f>
        <v>-0.000128815054506832</v>
      </c>
      <c r="AG170" s="6" t="n">
        <f aca="false">AC170</f>
        <v>0.000283976870840074</v>
      </c>
      <c r="AH170" s="23" t="n">
        <f aca="false">X170</f>
        <v>0.36036036036036</v>
      </c>
      <c r="AI170" s="23" t="n">
        <f aca="false">Y170</f>
        <v>0.297297297297297</v>
      </c>
      <c r="AJ170" s="23" t="n">
        <f aca="false">Z170</f>
        <v>0.00900900900900901</v>
      </c>
      <c r="AK170" s="23" t="n">
        <f aca="false">AA170</f>
        <v>0.333333333333333</v>
      </c>
    </row>
    <row r="171" customFormat="false" ht="15" hidden="false" customHeight="true" outlineLevel="0" collapsed="false">
      <c r="A171" s="22" t="n">
        <f aca="false">aci!H172</f>
        <v>127.1</v>
      </c>
      <c r="B171" s="22" t="n">
        <f aca="false">apexfoot!H172</f>
        <v>232</v>
      </c>
      <c r="C171" s="22" t="n">
        <f aca="false">bxpharma!H172</f>
        <v>114.1</v>
      </c>
      <c r="D171" s="22" t="n">
        <f aca="false">batbc!H172</f>
        <v>335</v>
      </c>
      <c r="E171" s="6" t="n">
        <f aca="false">LN(A170/A171)</f>
        <v>0.0171611075824037</v>
      </c>
      <c r="F171" s="6" t="n">
        <f aca="false">LN(B170/B171)</f>
        <v>-0.0043196611445164</v>
      </c>
      <c r="G171" s="6" t="n">
        <f aca="false">LN(C170/C171)</f>
        <v>-0.0150113194084392</v>
      </c>
      <c r="H171" s="6" t="n">
        <f aca="false">LN(D170/D171)</f>
        <v>-0.0111062225192162</v>
      </c>
      <c r="I171" s="6" t="n">
        <f aca="false">E171-$I$2</f>
        <v>0.0167479719891833</v>
      </c>
      <c r="J171" s="6" t="n">
        <f aca="false">F171-$J$2</f>
        <v>-0.00473279673773674</v>
      </c>
      <c r="K171" s="6" t="n">
        <f aca="false">G171-$K$2</f>
        <v>-0.0154244550016595</v>
      </c>
      <c r="L171" s="6" t="n">
        <f aca="false">H171-$L$2</f>
        <v>-0.0115193581124365</v>
      </c>
      <c r="S171" s="9" t="n">
        <v>0.77</v>
      </c>
      <c r="T171" s="9" t="n">
        <v>0.78</v>
      </c>
      <c r="U171" s="9" t="n">
        <v>0.14</v>
      </c>
      <c r="V171" s="9" t="n">
        <v>0.54</v>
      </c>
      <c r="W171" s="22" t="n">
        <f aca="false">SUM(S171:V171)</f>
        <v>2.23</v>
      </c>
      <c r="X171" s="23" t="n">
        <f aca="false">S171/$W171</f>
        <v>0.345291479820628</v>
      </c>
      <c r="Y171" s="23" t="n">
        <f aca="false">T171/$W171</f>
        <v>0.349775784753363</v>
      </c>
      <c r="Z171" s="23" t="n">
        <f aca="false">U171/$W171</f>
        <v>0.062780269058296</v>
      </c>
      <c r="AA171" s="23" t="n">
        <f aca="false">V171/$W171</f>
        <v>0.242152466367713</v>
      </c>
      <c r="AB171" s="23" t="n">
        <f aca="false">SUM(X171:AA171)</f>
        <v>1</v>
      </c>
      <c r="AC171" s="6" t="n">
        <f aca="false" t="array" ref="AC171:AC171">MMULT(MMULT(X171:AA171,$N$2:$Q$5),TRANSPOSE(X171:AA171))</f>
        <v>0.000263095967812455</v>
      </c>
      <c r="AD171" s="6" t="n">
        <f aca="false">SUMPRODUCT(X171:AA171,$E$237:$H$237)</f>
        <v>-0.000110651917233521</v>
      </c>
      <c r="AE171" s="24" t="n">
        <f aca="false">(AD171-$I$2)/SQRT(AC171)</f>
        <v>-0.032292230404946</v>
      </c>
      <c r="AF171" s="6" t="n">
        <f aca="false">AD171</f>
        <v>-0.000110651917233521</v>
      </c>
      <c r="AG171" s="6" t="n">
        <f aca="false">AC171</f>
        <v>0.000263095967812455</v>
      </c>
      <c r="AH171" s="23" t="n">
        <f aca="false">X171</f>
        <v>0.345291479820628</v>
      </c>
      <c r="AI171" s="23" t="n">
        <f aca="false">Y171</f>
        <v>0.349775784753363</v>
      </c>
      <c r="AJ171" s="23" t="n">
        <f aca="false">Z171</f>
        <v>0.062780269058296</v>
      </c>
      <c r="AK171" s="23" t="n">
        <f aca="false">AA171</f>
        <v>0.242152466367713</v>
      </c>
    </row>
    <row r="172" customFormat="false" ht="15" hidden="false" customHeight="true" outlineLevel="0" collapsed="false">
      <c r="A172" s="22" t="n">
        <f aca="false">aci!H173</f>
        <v>124.8</v>
      </c>
      <c r="B172" s="22" t="n">
        <f aca="false">apexfoot!H173</f>
        <v>230.5</v>
      </c>
      <c r="C172" s="22" t="n">
        <f aca="false">bxpharma!H173</f>
        <v>110.2</v>
      </c>
      <c r="D172" s="22" t="n">
        <f aca="false">batbc!H173</f>
        <v>328.1</v>
      </c>
      <c r="E172" s="6" t="n">
        <f aca="false">LN(A171/A172)</f>
        <v>0.0182617222600811</v>
      </c>
      <c r="F172" s="6" t="n">
        <f aca="false">LN(B171/B172)</f>
        <v>0.00648650922960685</v>
      </c>
      <c r="G172" s="6" t="n">
        <f aca="false">LN(C171/C172)</f>
        <v>0.0347783601492159</v>
      </c>
      <c r="H172" s="6" t="n">
        <f aca="false">LN(D171/D172)</f>
        <v>0.0208120918580104</v>
      </c>
      <c r="I172" s="6" t="n">
        <f aca="false">E172-$I$2</f>
        <v>0.0178485866668608</v>
      </c>
      <c r="J172" s="6" t="n">
        <f aca="false">F172-$J$2</f>
        <v>0.00607337363638651</v>
      </c>
      <c r="K172" s="6" t="n">
        <f aca="false">G172-$K$2</f>
        <v>0.0343652245559955</v>
      </c>
      <c r="L172" s="6" t="n">
        <f aca="false">H172-$L$2</f>
        <v>0.0203989562647901</v>
      </c>
      <c r="S172" s="9" t="n">
        <v>0.14</v>
      </c>
      <c r="T172" s="9" t="n">
        <v>0.61</v>
      </c>
      <c r="U172" s="9" t="n">
        <v>0.08</v>
      </c>
      <c r="V172" s="9" t="n">
        <v>0.81</v>
      </c>
      <c r="W172" s="22" t="n">
        <f aca="false">SUM(S172:V172)</f>
        <v>1.64</v>
      </c>
      <c r="X172" s="23" t="n">
        <f aca="false">S172/$W172</f>
        <v>0.0853658536585366</v>
      </c>
      <c r="Y172" s="23" t="n">
        <f aca="false">T172/$W172</f>
        <v>0.371951219512195</v>
      </c>
      <c r="Z172" s="23" t="n">
        <f aca="false">U172/$W172</f>
        <v>0.048780487804878</v>
      </c>
      <c r="AA172" s="23" t="n">
        <f aca="false">V172/$W172</f>
        <v>0.49390243902439</v>
      </c>
      <c r="AB172" s="23" t="n">
        <f aca="false">SUM(X172:AA172)</f>
        <v>1</v>
      </c>
      <c r="AC172" s="6" t="n">
        <f aca="false" t="array" ref="AC172:AC172">MMULT(MMULT(X172:AA172,$N$2:$Q$5),TRANSPOSE(X172:AA172))</f>
        <v>0.000223081195925287</v>
      </c>
      <c r="AD172" s="6" t="n">
        <f aca="false">SUMPRODUCT(X172:AA172,$E$237:$H$237)</f>
        <v>-0.000653862338301879</v>
      </c>
      <c r="AE172" s="24" t="n">
        <f aca="false">(AD172-$I$2)/SQRT(AC172)</f>
        <v>-0.0714384619062713</v>
      </c>
      <c r="AF172" s="6" t="n">
        <f aca="false">AD172</f>
        <v>-0.000653862338301879</v>
      </c>
      <c r="AG172" s="6" t="n">
        <f aca="false">AC172</f>
        <v>0.000223081195925287</v>
      </c>
      <c r="AH172" s="23" t="n">
        <f aca="false">X172</f>
        <v>0.0853658536585366</v>
      </c>
      <c r="AI172" s="23" t="n">
        <f aca="false">Y172</f>
        <v>0.371951219512195</v>
      </c>
      <c r="AJ172" s="23" t="n">
        <f aca="false">Z172</f>
        <v>0.048780487804878</v>
      </c>
      <c r="AK172" s="23" t="n">
        <f aca="false">AA172</f>
        <v>0.49390243902439</v>
      </c>
    </row>
    <row r="173" customFormat="false" ht="15" hidden="false" customHeight="true" outlineLevel="0" collapsed="false">
      <c r="A173" s="22" t="n">
        <f aca="false">aci!H174</f>
        <v>128.6</v>
      </c>
      <c r="B173" s="22" t="n">
        <f aca="false">apexfoot!H174</f>
        <v>237.6</v>
      </c>
      <c r="C173" s="22" t="n">
        <f aca="false">bxpharma!H174</f>
        <v>113.6</v>
      </c>
      <c r="D173" s="22" t="n">
        <f aca="false">batbc!H174</f>
        <v>335.9</v>
      </c>
      <c r="E173" s="6" t="n">
        <f aca="false">LN(A172/A173)</f>
        <v>-0.0299943558681917</v>
      </c>
      <c r="F173" s="6" t="n">
        <f aca="false">LN(B172/B173)</f>
        <v>-0.0303377250517866</v>
      </c>
      <c r="G173" s="6" t="n">
        <f aca="false">LN(C172/C173)</f>
        <v>-0.0303866095682368</v>
      </c>
      <c r="H173" s="6" t="n">
        <f aca="false">LN(D172/D173)</f>
        <v>-0.0234950566511909</v>
      </c>
      <c r="I173" s="6" t="n">
        <f aca="false">E173-$I$2</f>
        <v>-0.0304074914614121</v>
      </c>
      <c r="J173" s="6" t="n">
        <f aca="false">F173-$J$2</f>
        <v>-0.030750860645007</v>
      </c>
      <c r="K173" s="6" t="n">
        <f aca="false">G173-$K$2</f>
        <v>-0.0307997451614571</v>
      </c>
      <c r="L173" s="6" t="n">
        <f aca="false">H173-$L$2</f>
        <v>-0.0239081922444113</v>
      </c>
      <c r="S173" s="9" t="n">
        <v>0.63</v>
      </c>
      <c r="T173" s="9" t="n">
        <v>0.61</v>
      </c>
      <c r="U173" s="9" t="n">
        <v>0.43</v>
      </c>
      <c r="V173" s="9" t="n">
        <v>0.41</v>
      </c>
      <c r="W173" s="22" t="n">
        <f aca="false">SUM(S173:V173)</f>
        <v>2.08</v>
      </c>
      <c r="X173" s="23" t="n">
        <f aca="false">S173/$W173</f>
        <v>0.302884615384615</v>
      </c>
      <c r="Y173" s="23" t="n">
        <f aca="false">T173/$W173</f>
        <v>0.293269230769231</v>
      </c>
      <c r="Z173" s="23" t="n">
        <f aca="false">U173/$W173</f>
        <v>0.206730769230769</v>
      </c>
      <c r="AA173" s="23" t="n">
        <f aca="false">V173/$W173</f>
        <v>0.197115384615385</v>
      </c>
      <c r="AB173" s="23" t="n">
        <f aca="false">SUM(X173:AA173)</f>
        <v>1</v>
      </c>
      <c r="AC173" s="6" t="n">
        <f aca="false" t="array" ref="AC173:AC173">MMULT(MMULT(X173:AA173,$N$2:$Q$5),TRANSPOSE(X173:AA173))</f>
        <v>0.000241568941633756</v>
      </c>
      <c r="AD173" s="6" t="n">
        <f aca="false">SUMPRODUCT(X173:AA173,$E$237:$H$237)</f>
        <v>-0.000134333300723479</v>
      </c>
      <c r="AE173" s="24" t="n">
        <f aca="false">(AD173-$I$2)/SQRT(AC173)</f>
        <v>-0.0352240184725408</v>
      </c>
      <c r="AF173" s="6" t="n">
        <f aca="false">AD173</f>
        <v>-0.000134333300723479</v>
      </c>
      <c r="AG173" s="6" t="n">
        <f aca="false">AC173</f>
        <v>0.000241568941633756</v>
      </c>
      <c r="AH173" s="23" t="n">
        <f aca="false">X173</f>
        <v>0.302884615384615</v>
      </c>
      <c r="AI173" s="23" t="n">
        <f aca="false">Y173</f>
        <v>0.293269230769231</v>
      </c>
      <c r="AJ173" s="23" t="n">
        <f aca="false">Z173</f>
        <v>0.206730769230769</v>
      </c>
      <c r="AK173" s="23" t="n">
        <f aca="false">AA173</f>
        <v>0.197115384615385</v>
      </c>
    </row>
    <row r="174" customFormat="false" ht="15" hidden="false" customHeight="true" outlineLevel="0" collapsed="false">
      <c r="A174" s="22" t="n">
        <f aca="false">aci!H175</f>
        <v>131.2</v>
      </c>
      <c r="B174" s="22" t="n">
        <f aca="false">apexfoot!H175</f>
        <v>243.7</v>
      </c>
      <c r="C174" s="22" t="n">
        <f aca="false">bxpharma!H175</f>
        <v>115.5</v>
      </c>
      <c r="D174" s="22" t="n">
        <f aca="false">batbc!H175</f>
        <v>337</v>
      </c>
      <c r="E174" s="6" t="n">
        <f aca="false">LN(A173/A174)</f>
        <v>-0.0200160647064696</v>
      </c>
      <c r="F174" s="6" t="n">
        <f aca="false">LN(B173/B174)</f>
        <v>-0.0253493731426707</v>
      </c>
      <c r="G174" s="6" t="n">
        <f aca="false">LN(C173/C174)</f>
        <v>-0.0165870236747973</v>
      </c>
      <c r="H174" s="6" t="n">
        <f aca="false">LN(D173/D174)</f>
        <v>-0.00326943373411468</v>
      </c>
      <c r="I174" s="6" t="n">
        <f aca="false">E174-$I$2</f>
        <v>-0.02042920029969</v>
      </c>
      <c r="J174" s="6" t="n">
        <f aca="false">F174-$J$2</f>
        <v>-0.025762508735891</v>
      </c>
      <c r="K174" s="6" t="n">
        <f aca="false">G174-$K$2</f>
        <v>-0.0170001592680176</v>
      </c>
      <c r="L174" s="6" t="n">
        <f aca="false">H174-$L$2</f>
        <v>-0.00368256932733502</v>
      </c>
      <c r="S174" s="9" t="n">
        <v>0.18</v>
      </c>
      <c r="T174" s="9" t="n">
        <v>0.93</v>
      </c>
      <c r="U174" s="9" t="n">
        <v>0.6</v>
      </c>
      <c r="V174" s="9" t="n">
        <v>0.58</v>
      </c>
      <c r="W174" s="22" t="n">
        <f aca="false">SUM(S174:V174)</f>
        <v>2.29</v>
      </c>
      <c r="X174" s="23" t="n">
        <f aca="false">S174/$W174</f>
        <v>0.0786026200873362</v>
      </c>
      <c r="Y174" s="23" t="n">
        <f aca="false">T174/$W174</f>
        <v>0.406113537117904</v>
      </c>
      <c r="Z174" s="23" t="n">
        <f aca="false">U174/$W174</f>
        <v>0.262008733624454</v>
      </c>
      <c r="AA174" s="23" t="n">
        <f aca="false">V174/$W174</f>
        <v>0.253275109170306</v>
      </c>
      <c r="AB174" s="23" t="n">
        <f aca="false">SUM(X174:AA174)</f>
        <v>1</v>
      </c>
      <c r="AC174" s="6" t="n">
        <f aca="false" t="array" ref="AC174:AC174">MMULT(MMULT(X174:AA174,$N$2:$Q$5),TRANSPOSE(X174:AA174))</f>
        <v>0.000198124118208112</v>
      </c>
      <c r="AD174" s="6" t="n">
        <f aca="false">SUMPRODUCT(X174:AA174,$E$237:$H$237)</f>
        <v>-0.000531237280155571</v>
      </c>
      <c r="AE174" s="24" t="n">
        <f aca="false">(AD174-$I$2)/SQRT(AC174)</f>
        <v>-0.0670926321664953</v>
      </c>
      <c r="AF174" s="6" t="n">
        <f aca="false">AD174</f>
        <v>-0.000531237280155571</v>
      </c>
      <c r="AG174" s="6" t="n">
        <f aca="false">AC174</f>
        <v>0.000198124118208112</v>
      </c>
      <c r="AH174" s="23" t="n">
        <f aca="false">X174</f>
        <v>0.0786026200873362</v>
      </c>
      <c r="AI174" s="23" t="n">
        <f aca="false">Y174</f>
        <v>0.406113537117904</v>
      </c>
      <c r="AJ174" s="23" t="n">
        <f aca="false">Z174</f>
        <v>0.262008733624454</v>
      </c>
      <c r="AK174" s="23" t="n">
        <f aca="false">AA174</f>
        <v>0.253275109170306</v>
      </c>
    </row>
    <row r="175" customFormat="false" ht="15" hidden="false" customHeight="true" outlineLevel="0" collapsed="false">
      <c r="A175" s="22" t="n">
        <f aca="false">aci!H176</f>
        <v>128.7</v>
      </c>
      <c r="B175" s="22" t="n">
        <f aca="false">apexfoot!H176</f>
        <v>236.8</v>
      </c>
      <c r="C175" s="22" t="n">
        <f aca="false">bxpharma!H176</f>
        <v>118.5</v>
      </c>
      <c r="D175" s="22" t="n">
        <f aca="false">batbc!H176</f>
        <v>335.7</v>
      </c>
      <c r="E175" s="6" t="n">
        <f aca="false">LN(A174/A175)</f>
        <v>0.0192387619079077</v>
      </c>
      <c r="F175" s="6" t="n">
        <f aca="false">LN(B174/B175)</f>
        <v>0.0287220576213098</v>
      </c>
      <c r="G175" s="6" t="n">
        <f aca="false">LN(C174/C175)</f>
        <v>-0.0256424306133377</v>
      </c>
      <c r="H175" s="6" t="n">
        <f aca="false">LN(D174/D175)</f>
        <v>0.00386502636637246</v>
      </c>
      <c r="I175" s="6" t="n">
        <f aca="false">E175-$I$2</f>
        <v>0.0188256263146873</v>
      </c>
      <c r="J175" s="6" t="n">
        <f aca="false">F175-$J$2</f>
        <v>0.0283089220280895</v>
      </c>
      <c r="K175" s="6" t="n">
        <f aca="false">G175-$K$2</f>
        <v>-0.026055566206558</v>
      </c>
      <c r="L175" s="6" t="n">
        <f aca="false">H175-$L$2</f>
        <v>0.00345189077315212</v>
      </c>
      <c r="S175" s="9" t="n">
        <v>0.16</v>
      </c>
      <c r="T175" s="9" t="n">
        <v>0.35</v>
      </c>
      <c r="U175" s="9" t="n">
        <v>0.23</v>
      </c>
      <c r="V175" s="9" t="n">
        <v>0.4</v>
      </c>
      <c r="W175" s="22" t="n">
        <f aca="false">SUM(S175:V175)</f>
        <v>1.14</v>
      </c>
      <c r="X175" s="23" t="n">
        <f aca="false">S175/$W175</f>
        <v>0.140350877192982</v>
      </c>
      <c r="Y175" s="23" t="n">
        <f aca="false">T175/$W175</f>
        <v>0.307017543859649</v>
      </c>
      <c r="Z175" s="23" t="n">
        <f aca="false">U175/$W175</f>
        <v>0.201754385964912</v>
      </c>
      <c r="AA175" s="23" t="n">
        <f aca="false">V175/$W175</f>
        <v>0.350877192982456</v>
      </c>
      <c r="AB175" s="23" t="n">
        <f aca="false">SUM(X175:AA175)</f>
        <v>1</v>
      </c>
      <c r="AC175" s="6" t="n">
        <f aca="false" t="array" ref="AC175:AC175">MMULT(MMULT(X175:AA175,$N$2:$Q$5),TRANSPOSE(X175:AA175))</f>
        <v>0.000206373629752154</v>
      </c>
      <c r="AD175" s="6" t="n">
        <f aca="false">SUMPRODUCT(X175:AA175,$E$237:$H$237)</f>
        <v>-0.000471834423161133</v>
      </c>
      <c r="AE175" s="24" t="n">
        <f aca="false">(AD175-$I$2)/SQRT(AC175)</f>
        <v>-0.0616029422582156</v>
      </c>
      <c r="AF175" s="6" t="n">
        <f aca="false">AD175</f>
        <v>-0.000471834423161133</v>
      </c>
      <c r="AG175" s="6" t="n">
        <f aca="false">AC175</f>
        <v>0.000206373629752154</v>
      </c>
      <c r="AH175" s="23" t="n">
        <f aca="false">X175</f>
        <v>0.140350877192982</v>
      </c>
      <c r="AI175" s="23" t="n">
        <f aca="false">Y175</f>
        <v>0.307017543859649</v>
      </c>
      <c r="AJ175" s="23" t="n">
        <f aca="false">Z175</f>
        <v>0.201754385964912</v>
      </c>
      <c r="AK175" s="23" t="n">
        <f aca="false">AA175</f>
        <v>0.350877192982456</v>
      </c>
    </row>
    <row r="176" customFormat="false" ht="15" hidden="false" customHeight="true" outlineLevel="0" collapsed="false">
      <c r="A176" s="22" t="n">
        <f aca="false">aci!H177</f>
        <v>129.8</v>
      </c>
      <c r="B176" s="22" t="n">
        <f aca="false">apexfoot!H177</f>
        <v>232.1</v>
      </c>
      <c r="C176" s="22" t="n">
        <f aca="false">bxpharma!H177</f>
        <v>119.7</v>
      </c>
      <c r="D176" s="22" t="n">
        <f aca="false">batbc!H177</f>
        <v>334.4</v>
      </c>
      <c r="E176" s="6" t="n">
        <f aca="false">LN(A175/A176)</f>
        <v>-0.00851068966790884</v>
      </c>
      <c r="F176" s="6" t="n">
        <f aca="false">LN(B175/B176)</f>
        <v>0.0200475897294594</v>
      </c>
      <c r="G176" s="6" t="n">
        <f aca="false">LN(C175/C176)</f>
        <v>-0.0100756519887416</v>
      </c>
      <c r="H176" s="6" t="n">
        <f aca="false">LN(D175/D176)</f>
        <v>0.00388002277544279</v>
      </c>
      <c r="I176" s="6" t="n">
        <f aca="false">E176-$I$2</f>
        <v>-0.00892382526112918</v>
      </c>
      <c r="J176" s="6" t="n">
        <f aca="false">F176-$J$2</f>
        <v>0.0196344541362391</v>
      </c>
      <c r="K176" s="6" t="n">
        <f aca="false">G176-$K$2</f>
        <v>-0.0104887875819619</v>
      </c>
      <c r="L176" s="6" t="n">
        <f aca="false">H176-$L$2</f>
        <v>0.00346688718222245</v>
      </c>
      <c r="S176" s="9" t="n">
        <v>0.16</v>
      </c>
      <c r="T176" s="9" t="n">
        <v>0.05</v>
      </c>
      <c r="U176" s="9" t="n">
        <v>0.16</v>
      </c>
      <c r="V176" s="9" t="n">
        <v>0.05</v>
      </c>
      <c r="W176" s="22" t="n">
        <f aca="false">SUM(S176:V176)</f>
        <v>0.42</v>
      </c>
      <c r="X176" s="23" t="n">
        <f aca="false">S176/$W176</f>
        <v>0.380952380952381</v>
      </c>
      <c r="Y176" s="23" t="n">
        <f aca="false">T176/$W176</f>
        <v>0.119047619047619</v>
      </c>
      <c r="Z176" s="23" t="n">
        <f aca="false">U176/$W176</f>
        <v>0.380952380952381</v>
      </c>
      <c r="AA176" s="23" t="n">
        <f aca="false">V176/$W176</f>
        <v>0.119047619047619</v>
      </c>
      <c r="AB176" s="23" t="n">
        <f aca="false">SUM(X176:AA176)</f>
        <v>1</v>
      </c>
      <c r="AC176" s="6" t="n">
        <f aca="false" t="array" ref="AC176:AC176">MMULT(MMULT(X176:AA176,$N$2:$Q$5),TRANSPOSE(X176:AA176))</f>
        <v>0.00030361410944314</v>
      </c>
      <c r="AD176" s="6" t="n">
        <f aca="false">SUMPRODUCT(X176:AA176,$E$237:$H$237)</f>
        <v>7.06168782561689E-005</v>
      </c>
      <c r="AE176" s="24" t="n">
        <f aca="false">(AD176-$I$2)/SQRT(AC176)</f>
        <v>-0.0196572757964917</v>
      </c>
      <c r="AF176" s="6" t="n">
        <f aca="false">AD176</f>
        <v>7.06168782561689E-005</v>
      </c>
      <c r="AG176" s="6" t="n">
        <f aca="false">AC176</f>
        <v>0.00030361410944314</v>
      </c>
      <c r="AH176" s="23" t="n">
        <f aca="false">X176</f>
        <v>0.380952380952381</v>
      </c>
      <c r="AI176" s="23" t="n">
        <f aca="false">Y176</f>
        <v>0.119047619047619</v>
      </c>
      <c r="AJ176" s="23" t="n">
        <f aca="false">Z176</f>
        <v>0.380952380952381</v>
      </c>
      <c r="AK176" s="23" t="n">
        <f aca="false">AA176</f>
        <v>0.119047619047619</v>
      </c>
    </row>
    <row r="177" customFormat="false" ht="15" hidden="false" customHeight="true" outlineLevel="0" collapsed="false">
      <c r="A177" s="22" t="n">
        <f aca="false">aci!H178</f>
        <v>132.6</v>
      </c>
      <c r="B177" s="22" t="n">
        <f aca="false">apexfoot!H178</f>
        <v>232.8</v>
      </c>
      <c r="C177" s="22" t="n">
        <f aca="false">bxpharma!H178</f>
        <v>120.6</v>
      </c>
      <c r="D177" s="22" t="n">
        <f aca="false">batbc!H178</f>
        <v>334.2</v>
      </c>
      <c r="E177" s="6" t="n">
        <f aca="false">LN(A176/A177)</f>
        <v>-0.0213422734817724</v>
      </c>
      <c r="F177" s="6" t="n">
        <f aca="false">LN(B176/B177)</f>
        <v>-0.0030114025768915</v>
      </c>
      <c r="G177" s="6" t="n">
        <f aca="false">LN(C176/C177)</f>
        <v>-0.00749067172915751</v>
      </c>
      <c r="H177" s="6" t="n">
        <f aca="false">LN(D176/D177)</f>
        <v>0.000598265049253288</v>
      </c>
      <c r="I177" s="6" t="n">
        <f aca="false">E177-$I$2</f>
        <v>-0.0217554090749928</v>
      </c>
      <c r="J177" s="6" t="n">
        <f aca="false">F177-$J$2</f>
        <v>-0.00342453817011184</v>
      </c>
      <c r="K177" s="6" t="n">
        <f aca="false">G177-$K$2</f>
        <v>-0.00790380732237785</v>
      </c>
      <c r="L177" s="6" t="n">
        <f aca="false">H177-$L$2</f>
        <v>0.000185129456032949</v>
      </c>
      <c r="S177" s="9" t="n">
        <v>0.88</v>
      </c>
      <c r="T177" s="9" t="n">
        <v>0.99</v>
      </c>
      <c r="U177" s="9" t="n">
        <v>0.63</v>
      </c>
      <c r="V177" s="9" t="n">
        <v>0.88</v>
      </c>
      <c r="W177" s="22" t="n">
        <f aca="false">SUM(S177:V177)</f>
        <v>3.38</v>
      </c>
      <c r="X177" s="23" t="n">
        <f aca="false">S177/$W177</f>
        <v>0.260355029585799</v>
      </c>
      <c r="Y177" s="23" t="n">
        <f aca="false">T177/$W177</f>
        <v>0.292899408284024</v>
      </c>
      <c r="Z177" s="23" t="n">
        <f aca="false">U177/$W177</f>
        <v>0.186390532544379</v>
      </c>
      <c r="AA177" s="23" t="n">
        <f aca="false">V177/$W177</f>
        <v>0.260355029585799</v>
      </c>
      <c r="AB177" s="23" t="n">
        <f aca="false">SUM(X177:AA177)</f>
        <v>1</v>
      </c>
      <c r="AC177" s="6" t="n">
        <f aca="false" t="array" ref="AC177:AC177">MMULT(MMULT(X177:AA177,$N$2:$Q$5),TRANSPOSE(X177:AA177))</f>
        <v>0.000230208042563134</v>
      </c>
      <c r="AD177" s="6" t="n">
        <f aca="false">SUMPRODUCT(X177:AA177,$E$237:$H$237)</f>
        <v>-0.000235171751576994</v>
      </c>
      <c r="AE177" s="24" t="n">
        <f aca="false">(AD177-$I$2)/SQRT(AC177)</f>
        <v>-0.0427287999575372</v>
      </c>
      <c r="AF177" s="6" t="n">
        <f aca="false">AD177</f>
        <v>-0.000235171751576994</v>
      </c>
      <c r="AG177" s="6" t="n">
        <f aca="false">AC177</f>
        <v>0.000230208042563134</v>
      </c>
      <c r="AH177" s="23" t="n">
        <f aca="false">X177</f>
        <v>0.260355029585799</v>
      </c>
      <c r="AI177" s="23" t="n">
        <f aca="false">Y177</f>
        <v>0.292899408284024</v>
      </c>
      <c r="AJ177" s="23" t="n">
        <f aca="false">Z177</f>
        <v>0.186390532544379</v>
      </c>
      <c r="AK177" s="23" t="n">
        <f aca="false">AA177</f>
        <v>0.260355029585799</v>
      </c>
    </row>
    <row r="178" customFormat="false" ht="15" hidden="false" customHeight="true" outlineLevel="0" collapsed="false">
      <c r="A178" s="22" t="n">
        <f aca="false">aci!H179</f>
        <v>136.4</v>
      </c>
      <c r="B178" s="22" t="n">
        <f aca="false">apexfoot!H179</f>
        <v>238.6</v>
      </c>
      <c r="C178" s="22" t="n">
        <f aca="false">bxpharma!H179</f>
        <v>124.3</v>
      </c>
      <c r="D178" s="22" t="n">
        <f aca="false">batbc!H179</f>
        <v>338.2</v>
      </c>
      <c r="E178" s="6" t="n">
        <f aca="false">LN(A177/A178)</f>
        <v>-0.0282546676575997</v>
      </c>
      <c r="F178" s="6" t="n">
        <f aca="false">LN(B177/B178)</f>
        <v>-0.0246087938065329</v>
      </c>
      <c r="G178" s="6" t="n">
        <f aca="false">LN(C177/C178)</f>
        <v>-0.0302187142235804</v>
      </c>
      <c r="H178" s="6" t="n">
        <f aca="false">LN(D177/D178)</f>
        <v>-0.0118978203031866</v>
      </c>
      <c r="I178" s="6" t="n">
        <f aca="false">E178-$I$2</f>
        <v>-0.02866780325082</v>
      </c>
      <c r="J178" s="6" t="n">
        <f aca="false">F178-$J$2</f>
        <v>-0.0250219293997533</v>
      </c>
      <c r="K178" s="6" t="n">
        <f aca="false">G178-$K$2</f>
        <v>-0.0306318498168007</v>
      </c>
      <c r="L178" s="6" t="n">
        <f aca="false">H178-$L$2</f>
        <v>-0.0123109558964069</v>
      </c>
      <c r="S178" s="9" t="n">
        <v>0.63</v>
      </c>
      <c r="T178" s="9" t="n">
        <v>0.91</v>
      </c>
      <c r="U178" s="9" t="n">
        <v>0.8</v>
      </c>
      <c r="V178" s="9" t="n">
        <v>0.14</v>
      </c>
      <c r="W178" s="22" t="n">
        <f aca="false">SUM(S178:V178)</f>
        <v>2.48</v>
      </c>
      <c r="X178" s="23" t="n">
        <f aca="false">S178/$W178</f>
        <v>0.254032258064516</v>
      </c>
      <c r="Y178" s="23" t="n">
        <f aca="false">T178/$W178</f>
        <v>0.366935483870968</v>
      </c>
      <c r="Z178" s="23" t="n">
        <f aca="false">U178/$W178</f>
        <v>0.32258064516129</v>
      </c>
      <c r="AA178" s="23" t="n">
        <f aca="false">V178/$W178</f>
        <v>0.0564516129032258</v>
      </c>
      <c r="AB178" s="23" t="n">
        <f aca="false">SUM(X178:AA178)</f>
        <v>1</v>
      </c>
      <c r="AC178" s="6" t="n">
        <f aca="false" t="array" ref="AC178:AC178">MMULT(MMULT(X178:AA178,$N$2:$Q$5),TRANSPOSE(X178:AA178))</f>
        <v>0.000238538429927309</v>
      </c>
      <c r="AD178" s="6" t="n">
        <f aca="false">SUMPRODUCT(X178:AA178,$E$237:$H$237)</f>
        <v>-0.000143010081509161</v>
      </c>
      <c r="AE178" s="24" t="n">
        <f aca="false">(AD178-$I$2)/SQRT(AC178)</f>
        <v>-0.0360088611161391</v>
      </c>
      <c r="AF178" s="6" t="n">
        <f aca="false">AD178</f>
        <v>-0.000143010081509161</v>
      </c>
      <c r="AG178" s="6" t="n">
        <f aca="false">AC178</f>
        <v>0.000238538429927309</v>
      </c>
      <c r="AH178" s="23" t="n">
        <f aca="false">X178</f>
        <v>0.254032258064516</v>
      </c>
      <c r="AI178" s="23" t="n">
        <f aca="false">Y178</f>
        <v>0.366935483870968</v>
      </c>
      <c r="AJ178" s="23" t="n">
        <f aca="false">Z178</f>
        <v>0.32258064516129</v>
      </c>
      <c r="AK178" s="23" t="n">
        <f aca="false">AA178</f>
        <v>0.0564516129032258</v>
      </c>
    </row>
    <row r="179" customFormat="false" ht="15" hidden="false" customHeight="true" outlineLevel="0" collapsed="false">
      <c r="A179" s="22" t="n">
        <f aca="false">aci!H180</f>
        <v>137.1</v>
      </c>
      <c r="B179" s="22" t="n">
        <f aca="false">apexfoot!H180</f>
        <v>238.5</v>
      </c>
      <c r="C179" s="22" t="n">
        <f aca="false">bxpharma!H180</f>
        <v>122.7</v>
      </c>
      <c r="D179" s="22" t="n">
        <f aca="false">batbc!H180</f>
        <v>340.3</v>
      </c>
      <c r="E179" s="6" t="n">
        <f aca="false">LN(A178/A179)</f>
        <v>-0.00511884115890687</v>
      </c>
      <c r="F179" s="6" t="n">
        <f aca="false">LN(B178/B179)</f>
        <v>0.000419199335419905</v>
      </c>
      <c r="G179" s="6" t="n">
        <f aca="false">LN(C178/C179)</f>
        <v>0.0129556467997997</v>
      </c>
      <c r="H179" s="6" t="n">
        <f aca="false">LN(D178/D179)</f>
        <v>-0.00619014504238017</v>
      </c>
      <c r="I179" s="6" t="n">
        <f aca="false">E179-$I$2</f>
        <v>-0.00553197675212721</v>
      </c>
      <c r="J179" s="6" t="n">
        <f aca="false">F179-$J$2</f>
        <v>6.06374219956591E-006</v>
      </c>
      <c r="K179" s="6" t="n">
        <f aca="false">G179-$K$2</f>
        <v>0.0125425112065794</v>
      </c>
      <c r="L179" s="6" t="n">
        <f aca="false">H179-$L$2</f>
        <v>-0.00660328063560051</v>
      </c>
      <c r="S179" s="9" t="n">
        <v>0.82</v>
      </c>
      <c r="T179" s="9" t="n">
        <v>0.2</v>
      </c>
      <c r="U179" s="9" t="n">
        <v>0.64</v>
      </c>
      <c r="V179" s="9" t="n">
        <v>0.68</v>
      </c>
      <c r="W179" s="22" t="n">
        <f aca="false">SUM(S179:V179)</f>
        <v>2.34</v>
      </c>
      <c r="X179" s="23" t="n">
        <f aca="false">S179/$W179</f>
        <v>0.35042735042735</v>
      </c>
      <c r="Y179" s="23" t="n">
        <f aca="false">T179/$W179</f>
        <v>0.0854700854700855</v>
      </c>
      <c r="Z179" s="23" t="n">
        <f aca="false">U179/$W179</f>
        <v>0.273504273504274</v>
      </c>
      <c r="AA179" s="23" t="n">
        <f aca="false">V179/$W179</f>
        <v>0.290598290598291</v>
      </c>
      <c r="AB179" s="23" t="n">
        <f aca="false">SUM(X179:AA179)</f>
        <v>1</v>
      </c>
      <c r="AC179" s="6" t="n">
        <f aca="false" t="array" ref="AC179:AC179">MMULT(MMULT(X179:AA179,$N$2:$Q$5),TRANSPOSE(X179:AA179))</f>
        <v>0.000281363763474433</v>
      </c>
      <c r="AD179" s="6" t="n">
        <f aca="false">SUMPRODUCT(X179:AA179,$E$237:$H$237)</f>
        <v>-6.76666679000195E-005</v>
      </c>
      <c r="AE179" s="24" t="n">
        <f aca="false">(AD179-$I$2)/SQRT(AC179)</f>
        <v>-0.028663711182792</v>
      </c>
      <c r="AF179" s="6" t="n">
        <f aca="false">AD179</f>
        <v>-6.76666679000195E-005</v>
      </c>
      <c r="AG179" s="6" t="n">
        <f aca="false">AC179</f>
        <v>0.000281363763474433</v>
      </c>
      <c r="AH179" s="23" t="n">
        <f aca="false">X179</f>
        <v>0.35042735042735</v>
      </c>
      <c r="AI179" s="23" t="n">
        <f aca="false">Y179</f>
        <v>0.0854700854700855</v>
      </c>
      <c r="AJ179" s="23" t="n">
        <f aca="false">Z179</f>
        <v>0.273504273504274</v>
      </c>
      <c r="AK179" s="23" t="n">
        <f aca="false">AA179</f>
        <v>0.290598290598291</v>
      </c>
    </row>
    <row r="180" customFormat="false" ht="15" hidden="false" customHeight="true" outlineLevel="0" collapsed="false">
      <c r="A180" s="22" t="n">
        <f aca="false">aci!H181</f>
        <v>137.4</v>
      </c>
      <c r="B180" s="22" t="n">
        <f aca="false">apexfoot!H181</f>
        <v>241.4</v>
      </c>
      <c r="C180" s="22" t="n">
        <f aca="false">bxpharma!H181</f>
        <v>122</v>
      </c>
      <c r="D180" s="22" t="n">
        <f aca="false">batbc!H181</f>
        <v>344.8</v>
      </c>
      <c r="E180" s="6" t="n">
        <f aca="false">LN(A179/A180)</f>
        <v>-0.00218579321998032</v>
      </c>
      <c r="F180" s="6" t="n">
        <f aca="false">LN(B179/B180)</f>
        <v>-0.0120859983350353</v>
      </c>
      <c r="G180" s="6" t="n">
        <f aca="false">LN(C179/C180)</f>
        <v>0.00572130698360912</v>
      </c>
      <c r="H180" s="6" t="n">
        <f aca="false">LN(D179/D180)</f>
        <v>-0.0131369572826779</v>
      </c>
      <c r="I180" s="6" t="n">
        <f aca="false">E180-$I$2</f>
        <v>-0.00259892881320066</v>
      </c>
      <c r="J180" s="6" t="n">
        <f aca="false">F180-$J$2</f>
        <v>-0.0124991339282556</v>
      </c>
      <c r="K180" s="6" t="n">
        <f aca="false">G180-$K$2</f>
        <v>0.00530817139038878</v>
      </c>
      <c r="L180" s="6" t="n">
        <f aca="false">H180-$L$2</f>
        <v>-0.0135500928758983</v>
      </c>
      <c r="S180" s="9" t="n">
        <v>0.95</v>
      </c>
      <c r="T180" s="9" t="n">
        <v>0.38</v>
      </c>
      <c r="U180" s="9" t="n">
        <v>0.67</v>
      </c>
      <c r="V180" s="9" t="n">
        <v>0.54</v>
      </c>
      <c r="W180" s="22" t="n">
        <f aca="false">SUM(S180:V180)</f>
        <v>2.54</v>
      </c>
      <c r="X180" s="23" t="n">
        <f aca="false">S180/$W180</f>
        <v>0.374015748031496</v>
      </c>
      <c r="Y180" s="23" t="n">
        <f aca="false">T180/$W180</f>
        <v>0.149606299212598</v>
      </c>
      <c r="Z180" s="23" t="n">
        <f aca="false">U180/$W180</f>
        <v>0.263779527559055</v>
      </c>
      <c r="AA180" s="23" t="n">
        <f aca="false">V180/$W180</f>
        <v>0.21259842519685</v>
      </c>
      <c r="AB180" s="23" t="n">
        <f aca="false">SUM(X180:AA180)</f>
        <v>1</v>
      </c>
      <c r="AC180" s="6" t="n">
        <f aca="false" t="array" ref="AC180:AC180">MMULT(MMULT(X180:AA180,$N$2:$Q$5),TRANSPOSE(X180:AA180))</f>
        <v>0.000280163341161815</v>
      </c>
      <c r="AD180" s="6" t="n">
        <f aca="false">SUMPRODUCT(X180:AA180,$E$237:$H$237)</f>
        <v>-1.9824829795301E-006</v>
      </c>
      <c r="AE180" s="24" t="n">
        <f aca="false">(AD180-$I$2)/SQRT(AC180)</f>
        <v>-0.0248008171826067</v>
      </c>
      <c r="AF180" s="6" t="n">
        <f aca="false">AD180</f>
        <v>-1.9824829795301E-006</v>
      </c>
      <c r="AG180" s="6" t="n">
        <f aca="false">AC180</f>
        <v>0.000280163341161815</v>
      </c>
      <c r="AH180" s="23" t="n">
        <f aca="false">X180</f>
        <v>0.374015748031496</v>
      </c>
      <c r="AI180" s="23" t="n">
        <f aca="false">Y180</f>
        <v>0.149606299212598</v>
      </c>
      <c r="AJ180" s="23" t="n">
        <f aca="false">Z180</f>
        <v>0.263779527559055</v>
      </c>
      <c r="AK180" s="23" t="n">
        <f aca="false">AA180</f>
        <v>0.21259842519685</v>
      </c>
    </row>
    <row r="181" customFormat="false" ht="15" hidden="false" customHeight="true" outlineLevel="0" collapsed="false">
      <c r="A181" s="22" t="n">
        <f aca="false">aci!H182</f>
        <v>138.5</v>
      </c>
      <c r="B181" s="22" t="n">
        <f aca="false">apexfoot!H182</f>
        <v>246</v>
      </c>
      <c r="C181" s="22" t="n">
        <f aca="false">bxpharma!H182</f>
        <v>123.1</v>
      </c>
      <c r="D181" s="22" t="n">
        <f aca="false">batbc!H182</f>
        <v>348.8</v>
      </c>
      <c r="E181" s="6" t="n">
        <f aca="false">LN(A180/A181)</f>
        <v>-0.00797394583914423</v>
      </c>
      <c r="F181" s="6" t="n">
        <f aca="false">LN(B180/B181)</f>
        <v>-0.0188762272689317</v>
      </c>
      <c r="G181" s="6" t="n">
        <f aca="false">LN(C180/C181)</f>
        <v>-0.00897598845715117</v>
      </c>
      <c r="H181" s="6" t="n">
        <f aca="false">LN(D180/D181)</f>
        <v>-0.0115341532452865</v>
      </c>
      <c r="I181" s="6" t="n">
        <f aca="false">E181-$I$2</f>
        <v>-0.00838708143236457</v>
      </c>
      <c r="J181" s="6" t="n">
        <f aca="false">F181-$J$2</f>
        <v>-0.019289362862152</v>
      </c>
      <c r="K181" s="6" t="n">
        <f aca="false">G181-$K$2</f>
        <v>-0.00938912405037151</v>
      </c>
      <c r="L181" s="6" t="n">
        <f aca="false">H181-$L$2</f>
        <v>-0.0119472888385069</v>
      </c>
      <c r="S181" s="9" t="n">
        <v>0.13</v>
      </c>
      <c r="T181" s="9" t="n">
        <v>0.11</v>
      </c>
      <c r="U181" s="9" t="n">
        <v>0.41</v>
      </c>
      <c r="V181" s="9" t="n">
        <v>0.73</v>
      </c>
      <c r="W181" s="22" t="n">
        <f aca="false">SUM(S181:V181)</f>
        <v>1.38</v>
      </c>
      <c r="X181" s="23" t="n">
        <f aca="false">S181/$W181</f>
        <v>0.0942028985507247</v>
      </c>
      <c r="Y181" s="23" t="n">
        <f aca="false">T181/$W181</f>
        <v>0.0797101449275362</v>
      </c>
      <c r="Z181" s="23" t="n">
        <f aca="false">U181/$W181</f>
        <v>0.297101449275362</v>
      </c>
      <c r="AA181" s="23" t="n">
        <f aca="false">V181/$W181</f>
        <v>0.528985507246377</v>
      </c>
      <c r="AB181" s="23" t="n">
        <f aca="false">SUM(X181:AA181)</f>
        <v>1</v>
      </c>
      <c r="AC181" s="6" t="n">
        <f aca="false" t="array" ref="AC181:AC181">MMULT(MMULT(X181:AA181,$N$2:$Q$5),TRANSPOSE(X181:AA181))</f>
        <v>0.000227919696296173</v>
      </c>
      <c r="AD181" s="6" t="n">
        <f aca="false">SUMPRODUCT(X181:AA181,$E$237:$H$237)</f>
        <v>-0.000590759480099372</v>
      </c>
      <c r="AE181" s="24" t="n">
        <f aca="false">(AD181-$I$2)/SQRT(AC181)</f>
        <v>-0.0664962867196902</v>
      </c>
      <c r="AF181" s="6" t="n">
        <f aca="false">AD181</f>
        <v>-0.000590759480099372</v>
      </c>
      <c r="AG181" s="6" t="n">
        <f aca="false">AC181</f>
        <v>0.000227919696296173</v>
      </c>
      <c r="AH181" s="23" t="n">
        <f aca="false">X181</f>
        <v>0.0942028985507247</v>
      </c>
      <c r="AI181" s="23" t="n">
        <f aca="false">Y181</f>
        <v>0.0797101449275362</v>
      </c>
      <c r="AJ181" s="23" t="n">
        <f aca="false">Z181</f>
        <v>0.297101449275362</v>
      </c>
      <c r="AK181" s="23" t="n">
        <f aca="false">AA181</f>
        <v>0.528985507246377</v>
      </c>
    </row>
    <row r="182" customFormat="false" ht="15" hidden="false" customHeight="true" outlineLevel="0" collapsed="false">
      <c r="A182" s="22" t="n">
        <f aca="false">aci!H183</f>
        <v>131.9</v>
      </c>
      <c r="B182" s="22" t="n">
        <f aca="false">apexfoot!H183</f>
        <v>247.7</v>
      </c>
      <c r="C182" s="22" t="n">
        <f aca="false">bxpharma!H183</f>
        <v>124.9</v>
      </c>
      <c r="D182" s="22" t="n">
        <f aca="false">batbc!H183</f>
        <v>330.3</v>
      </c>
      <c r="E182" s="6" t="n">
        <f aca="false">LN(A181/A182)</f>
        <v>0.0488262659041242</v>
      </c>
      <c r="F182" s="6" t="n">
        <f aca="false">LN(B181/B182)</f>
        <v>-0.00688680056295101</v>
      </c>
      <c r="G182" s="6" t="n">
        <f aca="false">LN(C181/C182)</f>
        <v>-0.0145163839411242</v>
      </c>
      <c r="H182" s="6" t="n">
        <f aca="false">LN(D181/D182)</f>
        <v>0.0544973596380806</v>
      </c>
      <c r="I182" s="6" t="n">
        <f aca="false">E182-$I$2</f>
        <v>0.0484131303109039</v>
      </c>
      <c r="J182" s="6" t="n">
        <f aca="false">F182-$J$2</f>
        <v>-0.00729993615617135</v>
      </c>
      <c r="K182" s="6" t="n">
        <f aca="false">G182-$K$2</f>
        <v>-0.0149295195343445</v>
      </c>
      <c r="L182" s="6" t="n">
        <f aca="false">H182-$L$2</f>
        <v>0.0540842240448602</v>
      </c>
      <c r="S182" s="9" t="n">
        <v>0.21</v>
      </c>
      <c r="T182" s="9" t="n">
        <v>0.63</v>
      </c>
      <c r="U182" s="9" t="n">
        <v>0.07</v>
      </c>
      <c r="V182" s="9" t="n">
        <v>0.31</v>
      </c>
      <c r="W182" s="22" t="n">
        <f aca="false">SUM(S182:V182)</f>
        <v>1.22</v>
      </c>
      <c r="X182" s="23" t="n">
        <f aca="false">S182/$W182</f>
        <v>0.172131147540984</v>
      </c>
      <c r="Y182" s="23" t="n">
        <f aca="false">T182/$W182</f>
        <v>0.516393442622951</v>
      </c>
      <c r="Z182" s="23" t="n">
        <f aca="false">U182/$W182</f>
        <v>0.0573770491803279</v>
      </c>
      <c r="AA182" s="23" t="n">
        <f aca="false">V182/$W182</f>
        <v>0.254098360655738</v>
      </c>
      <c r="AB182" s="23" t="n">
        <f aca="false">SUM(X182:AA182)</f>
        <v>1</v>
      </c>
      <c r="AC182" s="6" t="n">
        <f aca="false" t="array" ref="AC182:AC182">MMULT(MMULT(X182:AA182,$N$2:$Q$5),TRANSPOSE(X182:AA182))</f>
        <v>0.000224569275321046</v>
      </c>
      <c r="AD182" s="6" t="n">
        <f aca="false">SUMPRODUCT(X182:AA182,$E$237:$H$237)</f>
        <v>-0.000417826806942037</v>
      </c>
      <c r="AE182" s="24" t="n">
        <f aca="false">(AD182-$I$2)/SQRT(AC182)</f>
        <v>-0.0554505941903388</v>
      </c>
      <c r="AF182" s="6" t="n">
        <f aca="false">AD182</f>
        <v>-0.000417826806942037</v>
      </c>
      <c r="AG182" s="6" t="n">
        <f aca="false">AC182</f>
        <v>0.000224569275321046</v>
      </c>
      <c r="AH182" s="23" t="n">
        <f aca="false">X182</f>
        <v>0.172131147540984</v>
      </c>
      <c r="AI182" s="23" t="n">
        <f aca="false">Y182</f>
        <v>0.516393442622951</v>
      </c>
      <c r="AJ182" s="23" t="n">
        <f aca="false">Z182</f>
        <v>0.0573770491803279</v>
      </c>
      <c r="AK182" s="23" t="n">
        <f aca="false">AA182</f>
        <v>0.254098360655738</v>
      </c>
    </row>
    <row r="183" customFormat="false" ht="15" hidden="false" customHeight="true" outlineLevel="0" collapsed="false">
      <c r="A183" s="22" t="n">
        <f aca="false">aci!H184</f>
        <v>128</v>
      </c>
      <c r="B183" s="22" t="n">
        <f aca="false">apexfoot!H184</f>
        <v>247.2</v>
      </c>
      <c r="C183" s="22" t="n">
        <f aca="false">bxpharma!H184</f>
        <v>123.7</v>
      </c>
      <c r="D183" s="22" t="n">
        <f aca="false">batbc!H184</f>
        <v>321.9</v>
      </c>
      <c r="E183" s="6" t="n">
        <f aca="false">LN(A182/A183)</f>
        <v>0.0300137958036518</v>
      </c>
      <c r="F183" s="6" t="n">
        <f aca="false">LN(B182/B183)</f>
        <v>0.00202061091177807</v>
      </c>
      <c r="G183" s="6" t="n">
        <f aca="false">LN(C182/C183)</f>
        <v>0.00965413773308983</v>
      </c>
      <c r="H183" s="6" t="n">
        <f aca="false">LN(D182/D183)</f>
        <v>0.0257603940919817</v>
      </c>
      <c r="I183" s="6" t="n">
        <f aca="false">E183-$I$2</f>
        <v>0.0296006602104315</v>
      </c>
      <c r="J183" s="6" t="n">
        <f aca="false">F183-$J$2</f>
        <v>0.00160747531855774</v>
      </c>
      <c r="K183" s="6" t="n">
        <f aca="false">G183-$K$2</f>
        <v>0.00924100213986949</v>
      </c>
      <c r="L183" s="6" t="n">
        <f aca="false">H183-$L$2</f>
        <v>0.0253472584987614</v>
      </c>
      <c r="S183" s="9" t="n">
        <v>0.87</v>
      </c>
      <c r="T183" s="9" t="n">
        <v>0.05</v>
      </c>
      <c r="U183" s="9" t="n">
        <v>0.96</v>
      </c>
      <c r="V183" s="9" t="n">
        <v>0.51</v>
      </c>
      <c r="W183" s="22" t="n">
        <f aca="false">SUM(S183:V183)</f>
        <v>2.39</v>
      </c>
      <c r="X183" s="23" t="n">
        <f aca="false">S183/$W183</f>
        <v>0.364016736401674</v>
      </c>
      <c r="Y183" s="23" t="n">
        <f aca="false">T183/$W183</f>
        <v>0.0209205020920502</v>
      </c>
      <c r="Z183" s="23" t="n">
        <f aca="false">U183/$W183</f>
        <v>0.401673640167364</v>
      </c>
      <c r="AA183" s="23" t="n">
        <f aca="false">V183/$W183</f>
        <v>0.213389121338912</v>
      </c>
      <c r="AB183" s="23" t="n">
        <f aca="false">SUM(X183:AA183)</f>
        <v>1</v>
      </c>
      <c r="AC183" s="6" t="n">
        <f aca="false" t="array" ref="AC183:AC183">MMULT(MMULT(X183:AA183,$N$2:$Q$5),TRANSPOSE(X183:AA183))</f>
        <v>0.000314015932080135</v>
      </c>
      <c r="AD183" s="6" t="n">
        <f aca="false">SUMPRODUCT(X183:AA183,$E$237:$H$237)</f>
        <v>1.35342831333906E-005</v>
      </c>
      <c r="AE183" s="24" t="n">
        <f aca="false">(AD183-$I$2)/SQRT(AC183)</f>
        <v>-0.0225502344637461</v>
      </c>
      <c r="AF183" s="6" t="n">
        <f aca="false">AD183</f>
        <v>1.35342831333906E-005</v>
      </c>
      <c r="AG183" s="6" t="n">
        <f aca="false">AC183</f>
        <v>0.000314015932080135</v>
      </c>
      <c r="AH183" s="23" t="n">
        <f aca="false">X183</f>
        <v>0.364016736401674</v>
      </c>
      <c r="AI183" s="23" t="n">
        <f aca="false">Y183</f>
        <v>0.0209205020920502</v>
      </c>
      <c r="AJ183" s="23" t="n">
        <f aca="false">Z183</f>
        <v>0.401673640167364</v>
      </c>
      <c r="AK183" s="23" t="n">
        <f aca="false">AA183</f>
        <v>0.213389121338912</v>
      </c>
    </row>
    <row r="184" customFormat="false" ht="15" hidden="false" customHeight="true" outlineLevel="0" collapsed="false">
      <c r="A184" s="22" t="n">
        <f aca="false">aci!H185</f>
        <v>129.4</v>
      </c>
      <c r="B184" s="22" t="n">
        <f aca="false">apexfoot!H185</f>
        <v>236.1</v>
      </c>
      <c r="C184" s="22" t="n">
        <f aca="false">bxpharma!H185</f>
        <v>121</v>
      </c>
      <c r="D184" s="22" t="n">
        <f aca="false">batbc!H185</f>
        <v>320.5</v>
      </c>
      <c r="E184" s="6" t="n">
        <f aca="false">LN(A183/A184)</f>
        <v>-0.010878118147183</v>
      </c>
      <c r="F184" s="6" t="n">
        <f aca="false">LN(B183/B184)</f>
        <v>0.0459422814920684</v>
      </c>
      <c r="G184" s="6" t="n">
        <f aca="false">LN(C183/C184)</f>
        <v>0.0220687338017011</v>
      </c>
      <c r="H184" s="6" t="n">
        <f aca="false">LN(D183/D184)</f>
        <v>0.0043586619440377</v>
      </c>
      <c r="I184" s="6" t="n">
        <f aca="false">E184-$I$2</f>
        <v>-0.0112912537404034</v>
      </c>
      <c r="J184" s="6" t="n">
        <f aca="false">F184-$J$2</f>
        <v>0.045529145898848</v>
      </c>
      <c r="K184" s="6" t="n">
        <f aca="false">G184-$K$2</f>
        <v>0.0216555982084808</v>
      </c>
      <c r="L184" s="6" t="n">
        <f aca="false">H184-$L$2</f>
        <v>0.00394552635081736</v>
      </c>
      <c r="S184" s="9" t="n">
        <v>0.83</v>
      </c>
      <c r="T184" s="9" t="n">
        <v>0.38</v>
      </c>
      <c r="U184" s="9" t="n">
        <v>0.5</v>
      </c>
      <c r="V184" s="9" t="n">
        <v>0.35</v>
      </c>
      <c r="W184" s="22" t="n">
        <f aca="false">SUM(S184:V184)</f>
        <v>2.06</v>
      </c>
      <c r="X184" s="23" t="n">
        <f aca="false">S184/$W184</f>
        <v>0.402912621359223</v>
      </c>
      <c r="Y184" s="23" t="n">
        <f aca="false">T184/$W184</f>
        <v>0.184466019417476</v>
      </c>
      <c r="Z184" s="23" t="n">
        <f aca="false">U184/$W184</f>
        <v>0.242718446601942</v>
      </c>
      <c r="AA184" s="23" t="n">
        <f aca="false">V184/$W184</f>
        <v>0.169902912621359</v>
      </c>
      <c r="AB184" s="23" t="n">
        <f aca="false">SUM(X184:AA184)</f>
        <v>1</v>
      </c>
      <c r="AC184" s="6" t="n">
        <f aca="false" t="array" ref="AC184:AC184">MMULT(MMULT(X184:AA184,$N$2:$Q$5),TRANSPOSE(X184:AA184))</f>
        <v>0.000286443633627015</v>
      </c>
      <c r="AD184" s="6" t="n">
        <f aca="false">SUMPRODUCT(X184:AA184,$E$237:$H$237)</f>
        <v>5.80366370561939E-005</v>
      </c>
      <c r="AE184" s="24" t="n">
        <f aca="false">(AD184-$I$2)/SQRT(AC184)</f>
        <v>-0.0209811751154927</v>
      </c>
      <c r="AF184" s="6" t="n">
        <f aca="false">AD184</f>
        <v>5.80366370561939E-005</v>
      </c>
      <c r="AG184" s="6" t="n">
        <f aca="false">AC184</f>
        <v>0.000286443633627015</v>
      </c>
      <c r="AH184" s="23" t="n">
        <f aca="false">X184</f>
        <v>0.402912621359223</v>
      </c>
      <c r="AI184" s="23" t="n">
        <f aca="false">Y184</f>
        <v>0.184466019417476</v>
      </c>
      <c r="AJ184" s="23" t="n">
        <f aca="false">Z184</f>
        <v>0.242718446601942</v>
      </c>
      <c r="AK184" s="23" t="n">
        <f aca="false">AA184</f>
        <v>0.169902912621359</v>
      </c>
    </row>
    <row r="185" customFormat="false" ht="15" hidden="false" customHeight="true" outlineLevel="0" collapsed="false">
      <c r="A185" s="22" t="n">
        <f aca="false">aci!H186</f>
        <v>132.2</v>
      </c>
      <c r="B185" s="22" t="n">
        <f aca="false">apexfoot!H186</f>
        <v>238.9</v>
      </c>
      <c r="C185" s="22" t="n">
        <f aca="false">bxpharma!H186</f>
        <v>118.1</v>
      </c>
      <c r="D185" s="22" t="n">
        <f aca="false">batbc!H186</f>
        <v>322.8</v>
      </c>
      <c r="E185" s="6" t="n">
        <f aca="false">LN(A184/A185)</f>
        <v>-0.0214075453507856</v>
      </c>
      <c r="F185" s="6" t="n">
        <f aca="false">LN(B184/B185)</f>
        <v>-0.0117896102402967</v>
      </c>
      <c r="G185" s="6" t="n">
        <f aca="false">LN(C184/C185)</f>
        <v>0.0242588223934244</v>
      </c>
      <c r="H185" s="6" t="n">
        <f aca="false">LN(D184/D185)</f>
        <v>-0.00715066003506907</v>
      </c>
      <c r="I185" s="6" t="n">
        <f aca="false">E185-$I$2</f>
        <v>-0.0218206809440059</v>
      </c>
      <c r="J185" s="6" t="n">
        <f aca="false">F185-$J$2</f>
        <v>-0.012202745833517</v>
      </c>
      <c r="K185" s="6" t="n">
        <f aca="false">G185-$K$2</f>
        <v>0.0238456868002041</v>
      </c>
      <c r="L185" s="6" t="n">
        <f aca="false">H185-$L$2</f>
        <v>-0.00756379562828941</v>
      </c>
      <c r="S185" s="9" t="n">
        <v>0.37</v>
      </c>
      <c r="T185" s="9" t="n">
        <v>0.38</v>
      </c>
      <c r="U185" s="9" t="n">
        <v>0.99</v>
      </c>
      <c r="V185" s="9" t="n">
        <v>0.81</v>
      </c>
      <c r="W185" s="22" t="n">
        <f aca="false">SUM(S185:V185)</f>
        <v>2.55</v>
      </c>
      <c r="X185" s="23" t="n">
        <f aca="false">S185/$W185</f>
        <v>0.145098039215686</v>
      </c>
      <c r="Y185" s="23" t="n">
        <f aca="false">T185/$W185</f>
        <v>0.149019607843137</v>
      </c>
      <c r="Z185" s="23" t="n">
        <f aca="false">U185/$W185</f>
        <v>0.388235294117647</v>
      </c>
      <c r="AA185" s="23" t="n">
        <f aca="false">V185/$W185</f>
        <v>0.317647058823529</v>
      </c>
      <c r="AB185" s="23" t="n">
        <f aca="false">SUM(X185:AA185)</f>
        <v>1</v>
      </c>
      <c r="AC185" s="6" t="n">
        <f aca="false" t="array" ref="AC185:AC185">MMULT(MMULT(X185:AA185,$N$2:$Q$5),TRANSPOSE(X185:AA185))</f>
        <v>0.000231028520773869</v>
      </c>
      <c r="AD185" s="6" t="n">
        <f aca="false">SUMPRODUCT(X185:AA185,$E$237:$H$237)</f>
        <v>-0.00040717585163298</v>
      </c>
      <c r="AE185" s="24" t="n">
        <f aca="false">(AD185-$I$2)/SQRT(AC185)</f>
        <v>-0.053969198960949</v>
      </c>
      <c r="AF185" s="6" t="n">
        <f aca="false">AD185</f>
        <v>-0.00040717585163298</v>
      </c>
      <c r="AG185" s="6" t="n">
        <f aca="false">AC185</f>
        <v>0.000231028520773869</v>
      </c>
      <c r="AH185" s="23" t="n">
        <f aca="false">X185</f>
        <v>0.145098039215686</v>
      </c>
      <c r="AI185" s="23" t="n">
        <f aca="false">Y185</f>
        <v>0.149019607843137</v>
      </c>
      <c r="AJ185" s="23" t="n">
        <f aca="false">Z185</f>
        <v>0.388235294117647</v>
      </c>
      <c r="AK185" s="23" t="n">
        <f aca="false">AA185</f>
        <v>0.317647058823529</v>
      </c>
    </row>
    <row r="186" customFormat="false" ht="15" hidden="false" customHeight="true" outlineLevel="0" collapsed="false">
      <c r="A186" s="22" t="n">
        <f aca="false">aci!H187</f>
        <v>126.4</v>
      </c>
      <c r="B186" s="22" t="n">
        <f aca="false">apexfoot!H187</f>
        <v>235.2</v>
      </c>
      <c r="C186" s="22" t="n">
        <f aca="false">bxpharma!H187</f>
        <v>116.1</v>
      </c>
      <c r="D186" s="22" t="n">
        <f aca="false">batbc!H187</f>
        <v>321.8</v>
      </c>
      <c r="E186" s="6" t="n">
        <f aca="false">LN(A185/A186)</f>
        <v>0.0448644457048287</v>
      </c>
      <c r="F186" s="6" t="n">
        <f aca="false">LN(B185/B186)</f>
        <v>0.015608838307292</v>
      </c>
      <c r="G186" s="6" t="n">
        <f aca="false">LN(C185/C186)</f>
        <v>0.0170798344994707</v>
      </c>
      <c r="H186" s="6" t="n">
        <f aca="false">LN(D185/D186)</f>
        <v>0.00310270183751088</v>
      </c>
      <c r="I186" s="6" t="n">
        <f aca="false">E186-$I$2</f>
        <v>0.0444513101116083</v>
      </c>
      <c r="J186" s="6" t="n">
        <f aca="false">F186-$J$2</f>
        <v>0.0151957027140716</v>
      </c>
      <c r="K186" s="6" t="n">
        <f aca="false">G186-$K$2</f>
        <v>0.0166666989062504</v>
      </c>
      <c r="L186" s="6" t="n">
        <f aca="false">H186-$L$2</f>
        <v>0.00268956624429054</v>
      </c>
      <c r="S186" s="9" t="n">
        <v>0.47</v>
      </c>
      <c r="T186" s="9" t="n">
        <v>0.75</v>
      </c>
      <c r="U186" s="9" t="n">
        <v>0.14</v>
      </c>
      <c r="V186" s="9" t="n">
        <v>0.74</v>
      </c>
      <c r="W186" s="22" t="n">
        <f aca="false">SUM(S186:V186)</f>
        <v>2.1</v>
      </c>
      <c r="X186" s="23" t="n">
        <f aca="false">S186/$W186</f>
        <v>0.223809523809524</v>
      </c>
      <c r="Y186" s="23" t="n">
        <f aca="false">T186/$W186</f>
        <v>0.357142857142857</v>
      </c>
      <c r="Z186" s="23" t="n">
        <f aca="false">U186/$W186</f>
        <v>0.0666666666666667</v>
      </c>
      <c r="AA186" s="23" t="n">
        <f aca="false">V186/$W186</f>
        <v>0.352380952380952</v>
      </c>
      <c r="AB186" s="23" t="n">
        <f aca="false">SUM(X186:AA186)</f>
        <v>1</v>
      </c>
      <c r="AC186" s="6" t="n">
        <f aca="false" t="array" ref="AC186:AC186">MMULT(MMULT(X186:AA186,$N$2:$Q$5),TRANSPOSE(X186:AA186))</f>
        <v>0.000232971220124146</v>
      </c>
      <c r="AD186" s="6" t="n">
        <f aca="false">SUMPRODUCT(X186:AA186,$E$237:$H$237)</f>
        <v>-0.000359455883262498</v>
      </c>
      <c r="AE186" s="24" t="n">
        <f aca="false">(AD186-$I$2)/SQRT(AC186)</f>
        <v>-0.05061727667804</v>
      </c>
      <c r="AF186" s="6" t="n">
        <f aca="false">AD186</f>
        <v>-0.000359455883262498</v>
      </c>
      <c r="AG186" s="6" t="n">
        <f aca="false">AC186</f>
        <v>0.000232971220124146</v>
      </c>
      <c r="AH186" s="23" t="n">
        <f aca="false">X186</f>
        <v>0.223809523809524</v>
      </c>
      <c r="AI186" s="23" t="n">
        <f aca="false">Y186</f>
        <v>0.357142857142857</v>
      </c>
      <c r="AJ186" s="23" t="n">
        <f aca="false">Z186</f>
        <v>0.0666666666666667</v>
      </c>
      <c r="AK186" s="23" t="n">
        <f aca="false">AA186</f>
        <v>0.352380952380952</v>
      </c>
    </row>
    <row r="187" customFormat="false" ht="15" hidden="false" customHeight="true" outlineLevel="0" collapsed="false">
      <c r="A187" s="22" t="n">
        <f aca="false">aci!H188</f>
        <v>124.2</v>
      </c>
      <c r="B187" s="22" t="n">
        <f aca="false">apexfoot!H188</f>
        <v>232.1</v>
      </c>
      <c r="C187" s="22" t="n">
        <f aca="false">bxpharma!H188</f>
        <v>111.1</v>
      </c>
      <c r="D187" s="22" t="n">
        <f aca="false">batbc!H188</f>
        <v>324.7</v>
      </c>
      <c r="E187" s="6" t="n">
        <f aca="false">LN(A186/A187)</f>
        <v>0.0175583122133787</v>
      </c>
      <c r="F187" s="6" t="n">
        <f aca="false">LN(B186/B187)</f>
        <v>0.0132679027440805</v>
      </c>
      <c r="G187" s="6" t="n">
        <f aca="false">LN(C186/C187)</f>
        <v>0.0440211920582615</v>
      </c>
      <c r="H187" s="6" t="n">
        <f aca="false">LN(D186/D187)</f>
        <v>-0.00897144455051741</v>
      </c>
      <c r="I187" s="6" t="n">
        <f aca="false">E187-$I$2</f>
        <v>0.0171451766201584</v>
      </c>
      <c r="J187" s="6" t="n">
        <f aca="false">F187-$J$2</f>
        <v>0.0128547671508602</v>
      </c>
      <c r="K187" s="6" t="n">
        <f aca="false">G187-$K$2</f>
        <v>0.0436080564650412</v>
      </c>
      <c r="L187" s="6" t="n">
        <f aca="false">H187-$L$2</f>
        <v>-0.00938458014373775</v>
      </c>
      <c r="S187" s="9" t="n">
        <v>0.52</v>
      </c>
      <c r="T187" s="9" t="n">
        <v>0.83</v>
      </c>
      <c r="U187" s="9" t="n">
        <v>0.81</v>
      </c>
      <c r="V187" s="9" t="n">
        <v>0.01</v>
      </c>
      <c r="W187" s="22" t="n">
        <f aca="false">SUM(S187:V187)</f>
        <v>2.17</v>
      </c>
      <c r="X187" s="23" t="n">
        <f aca="false">S187/$W187</f>
        <v>0.23963133640553</v>
      </c>
      <c r="Y187" s="23" t="n">
        <f aca="false">T187/$W187</f>
        <v>0.382488479262673</v>
      </c>
      <c r="Z187" s="23" t="n">
        <f aca="false">U187/$W187</f>
        <v>0.373271889400922</v>
      </c>
      <c r="AA187" s="23" t="n">
        <f aca="false">V187/$W187</f>
        <v>0.00460829493087558</v>
      </c>
      <c r="AB187" s="23" t="n">
        <f aca="false">SUM(X187:AA187)</f>
        <v>1</v>
      </c>
      <c r="AC187" s="6" t="n">
        <f aca="false" t="array" ref="AC187:AC187">MMULT(MMULT(X187:AA187,$N$2:$Q$5),TRANSPOSE(X187:AA187))</f>
        <v>0.000246967341935927</v>
      </c>
      <c r="AD187" s="6" t="n">
        <f aca="false">SUMPRODUCT(X187:AA187,$E$237:$H$237)</f>
        <v>-0.000138001974498945</v>
      </c>
      <c r="AE187" s="24" t="n">
        <f aca="false">(AD187-$I$2)/SQRT(AC187)</f>
        <v>-0.0350703622230308</v>
      </c>
      <c r="AF187" s="6" t="n">
        <f aca="false">AD187</f>
        <v>-0.000138001974498945</v>
      </c>
      <c r="AG187" s="6" t="n">
        <f aca="false">AC187</f>
        <v>0.000246967341935927</v>
      </c>
      <c r="AH187" s="23" t="n">
        <f aca="false">X187</f>
        <v>0.23963133640553</v>
      </c>
      <c r="AI187" s="23" t="n">
        <f aca="false">Y187</f>
        <v>0.382488479262673</v>
      </c>
      <c r="AJ187" s="23" t="n">
        <f aca="false">Z187</f>
        <v>0.373271889400922</v>
      </c>
      <c r="AK187" s="23" t="n">
        <f aca="false">AA187</f>
        <v>0.00460829493087558</v>
      </c>
    </row>
    <row r="188" customFormat="false" ht="15" hidden="false" customHeight="true" outlineLevel="0" collapsed="false">
      <c r="A188" s="22" t="n">
        <f aca="false">aci!H189</f>
        <v>117.8</v>
      </c>
      <c r="B188" s="22" t="n">
        <f aca="false">apexfoot!H189</f>
        <v>224.9</v>
      </c>
      <c r="C188" s="22" t="n">
        <f aca="false">bxpharma!H189</f>
        <v>105.5</v>
      </c>
      <c r="D188" s="22" t="n">
        <f aca="false">batbc!H189</f>
        <v>319.5</v>
      </c>
      <c r="E188" s="6" t="n">
        <f aca="false">LN(A187/A188)</f>
        <v>0.0529048982818921</v>
      </c>
      <c r="F188" s="6" t="n">
        <f aca="false">LN(B187/B188)</f>
        <v>0.0315124543151212</v>
      </c>
      <c r="G188" s="6" t="n">
        <f aca="false">LN(C187/C188)</f>
        <v>0.051719743729463</v>
      </c>
      <c r="H188" s="6" t="n">
        <f aca="false">LN(D187/D188)</f>
        <v>0.0161444052912107</v>
      </c>
      <c r="I188" s="6" t="n">
        <f aca="false">E188-$I$2</f>
        <v>0.0524917626886718</v>
      </c>
      <c r="J188" s="6" t="n">
        <f aca="false">F188-$J$2</f>
        <v>0.0310993187219009</v>
      </c>
      <c r="K188" s="6" t="n">
        <f aca="false">G188-$K$2</f>
        <v>0.0513066081362427</v>
      </c>
      <c r="L188" s="6" t="n">
        <f aca="false">H188-$L$2</f>
        <v>0.0157312696979903</v>
      </c>
      <c r="S188" s="9" t="n">
        <v>0.38</v>
      </c>
      <c r="T188" s="9" t="n">
        <v>0.96</v>
      </c>
      <c r="U188" s="9" t="n">
        <v>0.24</v>
      </c>
      <c r="V188" s="9" t="n">
        <v>0.5</v>
      </c>
      <c r="W188" s="22" t="n">
        <f aca="false">SUM(S188:V188)</f>
        <v>2.08</v>
      </c>
      <c r="X188" s="23" t="n">
        <f aca="false">S188/$W188</f>
        <v>0.182692307692308</v>
      </c>
      <c r="Y188" s="23" t="n">
        <f aca="false">T188/$W188</f>
        <v>0.461538461538462</v>
      </c>
      <c r="Z188" s="23" t="n">
        <f aca="false">U188/$W188</f>
        <v>0.115384615384615</v>
      </c>
      <c r="AA188" s="23" t="n">
        <f aca="false">V188/$W188</f>
        <v>0.240384615384615</v>
      </c>
      <c r="AB188" s="23" t="n">
        <f aca="false">SUM(X188:AA188)</f>
        <v>1</v>
      </c>
      <c r="AC188" s="6" t="n">
        <f aca="false" t="array" ref="AC188:AC188">MMULT(MMULT(X188:AA188,$N$2:$Q$5),TRANSPOSE(X188:AA188))</f>
        <v>0.000216213409753666</v>
      </c>
      <c r="AD188" s="6" t="n">
        <f aca="false">SUMPRODUCT(X188:AA188,$E$237:$H$237)</f>
        <v>-0.000380717574132318</v>
      </c>
      <c r="AE188" s="24" t="n">
        <f aca="false">(AD188-$I$2)/SQRT(AC188)</f>
        <v>-0.0539882026016504</v>
      </c>
      <c r="AF188" s="6" t="n">
        <f aca="false">AD188</f>
        <v>-0.000380717574132318</v>
      </c>
      <c r="AG188" s="6" t="n">
        <f aca="false">AC188</f>
        <v>0.000216213409753666</v>
      </c>
      <c r="AH188" s="23" t="n">
        <f aca="false">X188</f>
        <v>0.182692307692308</v>
      </c>
      <c r="AI188" s="23" t="n">
        <f aca="false">Y188</f>
        <v>0.461538461538462</v>
      </c>
      <c r="AJ188" s="23" t="n">
        <f aca="false">Z188</f>
        <v>0.115384615384615</v>
      </c>
      <c r="AK188" s="23" t="n">
        <f aca="false">AA188</f>
        <v>0.240384615384615</v>
      </c>
    </row>
    <row r="189" customFormat="false" ht="15" hidden="false" customHeight="true" outlineLevel="0" collapsed="false">
      <c r="A189" s="22" t="n">
        <f aca="false">aci!H190</f>
        <v>117.5</v>
      </c>
      <c r="B189" s="22" t="n">
        <f aca="false">apexfoot!H190</f>
        <v>229</v>
      </c>
      <c r="C189" s="22" t="n">
        <f aca="false">bxpharma!H190</f>
        <v>103.5</v>
      </c>
      <c r="D189" s="22" t="n">
        <f aca="false">batbc!H190</f>
        <v>320.5</v>
      </c>
      <c r="E189" s="6" t="n">
        <f aca="false">LN(A188/A189)</f>
        <v>0.00254993763327271</v>
      </c>
      <c r="F189" s="6" t="n">
        <f aca="false">LN(B188/B189)</f>
        <v>-0.0180661445889696</v>
      </c>
      <c r="G189" s="6" t="n">
        <f aca="false">LN(C188/C189)</f>
        <v>0.0191393402106975</v>
      </c>
      <c r="H189" s="6" t="n">
        <f aca="false">LN(D188/D189)</f>
        <v>-0.00312500254313528</v>
      </c>
      <c r="I189" s="6" t="n">
        <f aca="false">E189-$I$2</f>
        <v>0.00213680204005237</v>
      </c>
      <c r="J189" s="6" t="n">
        <f aca="false">F189-$J$2</f>
        <v>-0.01847928018219</v>
      </c>
      <c r="K189" s="6" t="n">
        <f aca="false">G189-$K$2</f>
        <v>0.0187262046174772</v>
      </c>
      <c r="L189" s="6" t="n">
        <f aca="false">H189-$L$2</f>
        <v>-0.00353813813635562</v>
      </c>
      <c r="S189" s="9" t="n">
        <v>0.94</v>
      </c>
      <c r="T189" s="9" t="n">
        <v>0.75</v>
      </c>
      <c r="U189" s="9" t="n">
        <v>0.8</v>
      </c>
      <c r="V189" s="9" t="n">
        <v>0.56</v>
      </c>
      <c r="W189" s="22" t="n">
        <f aca="false">SUM(S189:V189)</f>
        <v>3.05</v>
      </c>
      <c r="X189" s="23" t="n">
        <f aca="false">S189/$W189</f>
        <v>0.308196721311475</v>
      </c>
      <c r="Y189" s="23" t="n">
        <f aca="false">T189/$W189</f>
        <v>0.245901639344262</v>
      </c>
      <c r="Z189" s="23" t="n">
        <f aca="false">U189/$W189</f>
        <v>0.262295081967213</v>
      </c>
      <c r="AA189" s="23" t="n">
        <f aca="false">V189/$W189</f>
        <v>0.183606557377049</v>
      </c>
      <c r="AB189" s="23" t="n">
        <f aca="false">SUM(X189:AA189)</f>
        <v>1</v>
      </c>
      <c r="AC189" s="6" t="n">
        <f aca="false" t="array" ref="AC189:AC189">MMULT(MMULT(X189:AA189,$N$2:$Q$5),TRANSPOSE(X189:AA189))</f>
        <v>0.00024815337437538</v>
      </c>
      <c r="AD189" s="6" t="n">
        <f aca="false">SUMPRODUCT(X189:AA189,$E$237:$H$237)</f>
        <v>-0.000107030328866266</v>
      </c>
      <c r="AE189" s="24" t="n">
        <f aca="false">(AD189-$I$2)/SQRT(AC189)</f>
        <v>-0.0330203600219761</v>
      </c>
      <c r="AF189" s="6" t="n">
        <f aca="false">AD189</f>
        <v>-0.000107030328866266</v>
      </c>
      <c r="AG189" s="6" t="n">
        <f aca="false">AC189</f>
        <v>0.00024815337437538</v>
      </c>
      <c r="AH189" s="23" t="n">
        <f aca="false">X189</f>
        <v>0.308196721311475</v>
      </c>
      <c r="AI189" s="23" t="n">
        <f aca="false">Y189</f>
        <v>0.245901639344262</v>
      </c>
      <c r="AJ189" s="23" t="n">
        <f aca="false">Z189</f>
        <v>0.262295081967213</v>
      </c>
      <c r="AK189" s="23" t="n">
        <f aca="false">AA189</f>
        <v>0.183606557377049</v>
      </c>
    </row>
    <row r="190" customFormat="false" ht="15" hidden="false" customHeight="true" outlineLevel="0" collapsed="false">
      <c r="A190" s="22" t="n">
        <f aca="false">aci!H191</f>
        <v>118.1</v>
      </c>
      <c r="B190" s="22" t="n">
        <f aca="false">apexfoot!H191</f>
        <v>230</v>
      </c>
      <c r="C190" s="22" t="n">
        <f aca="false">bxpharma!H191</f>
        <v>103.3</v>
      </c>
      <c r="D190" s="22" t="n">
        <f aca="false">batbc!H191</f>
        <v>328</v>
      </c>
      <c r="E190" s="6" t="n">
        <f aca="false">LN(A189/A190)</f>
        <v>-0.0050933896191029</v>
      </c>
      <c r="F190" s="6" t="n">
        <f aca="false">LN(B189/B190)</f>
        <v>-0.0043573053689557</v>
      </c>
      <c r="G190" s="6" t="n">
        <f aca="false">LN(C189/C190)</f>
        <v>0.00193423657983097</v>
      </c>
      <c r="H190" s="6" t="n">
        <f aca="false">LN(D189/D190)</f>
        <v>-0.023131332023419</v>
      </c>
      <c r="I190" s="6" t="n">
        <f aca="false">E190-$I$2</f>
        <v>-0.00550652521232324</v>
      </c>
      <c r="J190" s="6" t="n">
        <f aca="false">F190-$J$2</f>
        <v>-0.00477044096217604</v>
      </c>
      <c r="K190" s="6" t="n">
        <f aca="false">G190-$K$2</f>
        <v>0.00152110098661063</v>
      </c>
      <c r="L190" s="6" t="n">
        <f aca="false">H190-$L$2</f>
        <v>-0.0235444676166393</v>
      </c>
      <c r="S190" s="9" t="n">
        <v>0.35</v>
      </c>
      <c r="T190" s="9" t="n">
        <v>0.27</v>
      </c>
      <c r="U190" s="9" t="n">
        <v>0.13</v>
      </c>
      <c r="V190" s="9" t="n">
        <v>0.56</v>
      </c>
      <c r="W190" s="22" t="n">
        <f aca="false">SUM(S190:V190)</f>
        <v>1.31</v>
      </c>
      <c r="X190" s="23" t="n">
        <f aca="false">S190/$W190</f>
        <v>0.267175572519084</v>
      </c>
      <c r="Y190" s="23" t="n">
        <f aca="false">T190/$W190</f>
        <v>0.206106870229008</v>
      </c>
      <c r="Z190" s="23" t="n">
        <f aca="false">U190/$W190</f>
        <v>0.099236641221374</v>
      </c>
      <c r="AA190" s="23" t="n">
        <f aca="false">V190/$W190</f>
        <v>0.427480916030534</v>
      </c>
      <c r="AB190" s="23" t="n">
        <f aca="false">SUM(X190:AA190)</f>
        <v>1</v>
      </c>
      <c r="AC190" s="6" t="n">
        <f aca="false" t="array" ref="AC190:AC190">MMULT(MMULT(X190:AA190,$N$2:$Q$5),TRANSPOSE(X190:AA190))</f>
        <v>0.000251798023031315</v>
      </c>
      <c r="AD190" s="6" t="n">
        <f aca="false">SUMPRODUCT(X190:AA190,$E$237:$H$237)</f>
        <v>-0.000301961267086753</v>
      </c>
      <c r="AE190" s="24" t="n">
        <f aca="false">(AD190-$I$2)/SQRT(AC190)</f>
        <v>-0.0450649312918951</v>
      </c>
      <c r="AF190" s="6" t="n">
        <f aca="false">AD190</f>
        <v>-0.000301961267086753</v>
      </c>
      <c r="AG190" s="6" t="n">
        <f aca="false">AC190</f>
        <v>0.000251798023031315</v>
      </c>
      <c r="AH190" s="23" t="n">
        <f aca="false">X190</f>
        <v>0.267175572519084</v>
      </c>
      <c r="AI190" s="23" t="n">
        <f aca="false">Y190</f>
        <v>0.206106870229008</v>
      </c>
      <c r="AJ190" s="23" t="n">
        <f aca="false">Z190</f>
        <v>0.099236641221374</v>
      </c>
      <c r="AK190" s="23" t="n">
        <f aca="false">AA190</f>
        <v>0.427480916030534</v>
      </c>
    </row>
    <row r="191" customFormat="false" ht="15" hidden="false" customHeight="true" outlineLevel="0" collapsed="false">
      <c r="A191" s="22" t="n">
        <f aca="false">aci!H192</f>
        <v>118.6</v>
      </c>
      <c r="B191" s="22" t="n">
        <f aca="false">apexfoot!H192</f>
        <v>232.8</v>
      </c>
      <c r="C191" s="22" t="n">
        <f aca="false">bxpharma!H192</f>
        <v>105.7</v>
      </c>
      <c r="D191" s="22" t="n">
        <f aca="false">batbc!H192</f>
        <v>325.6</v>
      </c>
      <c r="E191" s="6" t="n">
        <f aca="false">LN(A190/A191)</f>
        <v>-0.00422476336030849</v>
      </c>
      <c r="F191" s="6" t="n">
        <f aca="false">LN(B190/B191)</f>
        <v>-0.0121004069340875</v>
      </c>
      <c r="G191" s="6" t="n">
        <f aca="false">LN(C190/C191)</f>
        <v>-0.0229675167505991</v>
      </c>
      <c r="H191" s="6" t="n">
        <f aca="false">LN(D190/D191)</f>
        <v>0.00734397425575851</v>
      </c>
      <c r="I191" s="6" t="n">
        <f aca="false">E191-$I$2</f>
        <v>-0.00463789895352883</v>
      </c>
      <c r="J191" s="6" t="n">
        <f aca="false">F191-$J$2</f>
        <v>-0.0125135425273078</v>
      </c>
      <c r="K191" s="6" t="n">
        <f aca="false">G191-$K$2</f>
        <v>-0.0233806523438194</v>
      </c>
      <c r="L191" s="6" t="n">
        <f aca="false">H191-$L$2</f>
        <v>0.00693083866253817</v>
      </c>
      <c r="S191" s="9" t="n">
        <v>0.47</v>
      </c>
      <c r="T191" s="9" t="n">
        <v>0.94</v>
      </c>
      <c r="U191" s="9" t="n">
        <v>0.17</v>
      </c>
      <c r="V191" s="9" t="n">
        <v>0.33</v>
      </c>
      <c r="W191" s="22" t="n">
        <f aca="false">SUM(S191:V191)</f>
        <v>1.91</v>
      </c>
      <c r="X191" s="23" t="n">
        <f aca="false">S191/$W191</f>
        <v>0.246073298429319</v>
      </c>
      <c r="Y191" s="23" t="n">
        <f aca="false">T191/$W191</f>
        <v>0.492146596858639</v>
      </c>
      <c r="Z191" s="23" t="n">
        <f aca="false">U191/$W191</f>
        <v>0.0890052356020943</v>
      </c>
      <c r="AA191" s="23" t="n">
        <f aca="false">V191/$W191</f>
        <v>0.172774869109948</v>
      </c>
      <c r="AB191" s="23" t="n">
        <f aca="false">SUM(X191:AA191)</f>
        <v>1</v>
      </c>
      <c r="AC191" s="6" t="n">
        <f aca="false" t="array" ref="AC191:AC191">MMULT(MMULT(X191:AA191,$N$2:$Q$5),TRANSPOSE(X191:AA191))</f>
        <v>0.000232203472128948</v>
      </c>
      <c r="AD191" s="6" t="n">
        <f aca="false">SUMPRODUCT(X191:AA191,$E$237:$H$237)</f>
        <v>-0.000253288177081641</v>
      </c>
      <c r="AE191" s="24" t="n">
        <f aca="false">(AD191-$I$2)/SQRT(AC191)</f>
        <v>-0.0437336902393863</v>
      </c>
      <c r="AF191" s="6" t="n">
        <f aca="false">AD191</f>
        <v>-0.000253288177081641</v>
      </c>
      <c r="AG191" s="6" t="n">
        <f aca="false">AC191</f>
        <v>0.000232203472128948</v>
      </c>
      <c r="AH191" s="23" t="n">
        <f aca="false">X191</f>
        <v>0.246073298429319</v>
      </c>
      <c r="AI191" s="23" t="n">
        <f aca="false">Y191</f>
        <v>0.492146596858639</v>
      </c>
      <c r="AJ191" s="23" t="n">
        <f aca="false">Z191</f>
        <v>0.0890052356020943</v>
      </c>
      <c r="AK191" s="23" t="n">
        <f aca="false">AA191</f>
        <v>0.172774869109948</v>
      </c>
    </row>
    <row r="192" customFormat="false" ht="15" hidden="false" customHeight="true" outlineLevel="0" collapsed="false">
      <c r="A192" s="22" t="n">
        <f aca="false">aci!H193</f>
        <v>113.9</v>
      </c>
      <c r="B192" s="22" t="n">
        <f aca="false">apexfoot!H193</f>
        <v>225.8</v>
      </c>
      <c r="C192" s="22" t="n">
        <f aca="false">bxpharma!H193</f>
        <v>104.2</v>
      </c>
      <c r="D192" s="22" t="n">
        <f aca="false">batbc!H193</f>
        <v>321.7</v>
      </c>
      <c r="E192" s="6" t="n">
        <f aca="false">LN(A191/A192)</f>
        <v>0.0404356161104886</v>
      </c>
      <c r="F192" s="6" t="n">
        <f aca="false">LN(B191/B192)</f>
        <v>0.030530064141721</v>
      </c>
      <c r="G192" s="6" t="n">
        <f aca="false">LN(C191/C192)</f>
        <v>0.0142927635569255</v>
      </c>
      <c r="H192" s="6" t="n">
        <f aca="false">LN(D191/D192)</f>
        <v>0.0120501998834047</v>
      </c>
      <c r="I192" s="6" t="n">
        <f aca="false">E192-$I$2</f>
        <v>0.0400224805172682</v>
      </c>
      <c r="J192" s="6" t="n">
        <f aca="false">F192-$J$2</f>
        <v>0.0301169285485007</v>
      </c>
      <c r="K192" s="6" t="n">
        <f aca="false">G192-$K$2</f>
        <v>0.0138796279637051</v>
      </c>
      <c r="L192" s="6" t="n">
        <f aca="false">H192-$L$2</f>
        <v>0.0116370642901844</v>
      </c>
      <c r="S192" s="9" t="n">
        <v>0.09</v>
      </c>
      <c r="T192" s="9" t="n">
        <v>0.34</v>
      </c>
      <c r="U192" s="9" t="n">
        <v>0.1</v>
      </c>
      <c r="V192" s="9" t="n">
        <v>0.45</v>
      </c>
      <c r="W192" s="22" t="n">
        <f aca="false">SUM(S192:V192)</f>
        <v>0.98</v>
      </c>
      <c r="X192" s="23" t="n">
        <f aca="false">S192/$W192</f>
        <v>0.0918367346938776</v>
      </c>
      <c r="Y192" s="23" t="n">
        <f aca="false">T192/$W192</f>
        <v>0.346938775510204</v>
      </c>
      <c r="Z192" s="23" t="n">
        <f aca="false">U192/$W192</f>
        <v>0.102040816326531</v>
      </c>
      <c r="AA192" s="23" t="n">
        <f aca="false">V192/$W192</f>
        <v>0.459183673469388</v>
      </c>
      <c r="AB192" s="23" t="n">
        <f aca="false">SUM(X192:AA192)</f>
        <v>1</v>
      </c>
      <c r="AC192" s="6" t="n">
        <f aca="false" t="array" ref="AC192:AC192">MMULT(MMULT(X192:AA192,$N$2:$Q$5),TRANSPOSE(X192:AA192))</f>
        <v>0.00021242176136615</v>
      </c>
      <c r="AD192" s="6" t="n">
        <f aca="false">SUMPRODUCT(X192:AA192,$E$237:$H$237)</f>
        <v>-0.000617774529837902</v>
      </c>
      <c r="AE192" s="24" t="n">
        <f aca="false">(AD192-$I$2)/SQRT(AC192)</f>
        <v>-0.0707328734827651</v>
      </c>
      <c r="AF192" s="6" t="n">
        <f aca="false">AD192</f>
        <v>-0.000617774529837902</v>
      </c>
      <c r="AG192" s="6" t="n">
        <f aca="false">AC192</f>
        <v>0.00021242176136615</v>
      </c>
      <c r="AH192" s="23" t="n">
        <f aca="false">X192</f>
        <v>0.0918367346938776</v>
      </c>
      <c r="AI192" s="23" t="n">
        <f aca="false">Y192</f>
        <v>0.346938775510204</v>
      </c>
      <c r="AJ192" s="23" t="n">
        <f aca="false">Z192</f>
        <v>0.102040816326531</v>
      </c>
      <c r="AK192" s="23" t="n">
        <f aca="false">AA192</f>
        <v>0.459183673469388</v>
      </c>
    </row>
    <row r="193" customFormat="false" ht="15" hidden="false" customHeight="true" outlineLevel="0" collapsed="false">
      <c r="A193" s="22" t="n">
        <f aca="false">aci!H194</f>
        <v>112.1</v>
      </c>
      <c r="B193" s="22" t="n">
        <f aca="false">apexfoot!H194</f>
        <v>222.6</v>
      </c>
      <c r="C193" s="22" t="n">
        <f aca="false">bxpharma!H194</f>
        <v>105.1</v>
      </c>
      <c r="D193" s="22" t="n">
        <f aca="false">batbc!H194</f>
        <v>319.7</v>
      </c>
      <c r="E193" s="6" t="n">
        <f aca="false">LN(A192/A193)</f>
        <v>0.0159295403750223</v>
      </c>
      <c r="F193" s="6" t="n">
        <f aca="false">LN(B192/B193)</f>
        <v>0.0142732128741172</v>
      </c>
      <c r="G193" s="6" t="n">
        <f aca="false">LN(C192/C193)</f>
        <v>-0.00860014856363877</v>
      </c>
      <c r="H193" s="6" t="n">
        <f aca="false">LN(D192/D193)</f>
        <v>0.0062363781791848</v>
      </c>
      <c r="I193" s="6" t="n">
        <f aca="false">E193-$I$2</f>
        <v>0.0155164047818019</v>
      </c>
      <c r="J193" s="6" t="n">
        <f aca="false">F193-$J$2</f>
        <v>0.0138600772808969</v>
      </c>
      <c r="K193" s="6" t="n">
        <f aca="false">G193-$K$2</f>
        <v>-0.00901328415685911</v>
      </c>
      <c r="L193" s="6" t="n">
        <f aca="false">H193-$L$2</f>
        <v>0.00582324258596446</v>
      </c>
      <c r="S193" s="9" t="n">
        <v>0.94</v>
      </c>
      <c r="T193" s="9" t="n">
        <v>0.24</v>
      </c>
      <c r="U193" s="9" t="n">
        <v>0.02</v>
      </c>
      <c r="V193" s="9" t="n">
        <v>0.7</v>
      </c>
      <c r="W193" s="22" t="n">
        <f aca="false">SUM(S193:V193)</f>
        <v>1.9</v>
      </c>
      <c r="X193" s="23" t="n">
        <f aca="false">S193/$W193</f>
        <v>0.494736842105263</v>
      </c>
      <c r="Y193" s="23" t="n">
        <f aca="false">T193/$W193</f>
        <v>0.126315789473684</v>
      </c>
      <c r="Z193" s="23" t="n">
        <f aca="false">U193/$W193</f>
        <v>0.0105263157894737</v>
      </c>
      <c r="AA193" s="23" t="n">
        <f aca="false">V193/$W193</f>
        <v>0.368421052631579</v>
      </c>
      <c r="AB193" s="23" t="n">
        <f aca="false">SUM(X193:AA193)</f>
        <v>1</v>
      </c>
      <c r="AC193" s="6" t="n">
        <f aca="false" t="array" ref="AC193:AC193">MMULT(MMULT(X193:AA193,$N$2:$Q$5),TRANSPOSE(X193:AA193))</f>
        <v>0.000360413648752076</v>
      </c>
      <c r="AD193" s="6" t="n">
        <f aca="false">SUMPRODUCT(X193:AA193,$E$237:$H$237)</f>
        <v>9.36054434887889E-005</v>
      </c>
      <c r="AE193" s="24" t="n">
        <f aca="false">(AD193-$I$2)/SQRT(AC193)</f>
        <v>-0.0168310507036197</v>
      </c>
      <c r="AF193" s="6" t="n">
        <f aca="false">AD193</f>
        <v>9.36054434887889E-005</v>
      </c>
      <c r="AG193" s="6" t="n">
        <f aca="false">AC193</f>
        <v>0.000360413648752076</v>
      </c>
      <c r="AH193" s="23" t="n">
        <f aca="false">X193</f>
        <v>0.494736842105263</v>
      </c>
      <c r="AI193" s="23" t="n">
        <f aca="false">Y193</f>
        <v>0.126315789473684</v>
      </c>
      <c r="AJ193" s="23" t="n">
        <f aca="false">Z193</f>
        <v>0.0105263157894737</v>
      </c>
      <c r="AK193" s="23" t="n">
        <f aca="false">AA193</f>
        <v>0.368421052631579</v>
      </c>
    </row>
    <row r="194" customFormat="false" ht="15" hidden="false" customHeight="true" outlineLevel="0" collapsed="false">
      <c r="A194" s="22" t="n">
        <f aca="false">aci!H195</f>
        <v>114</v>
      </c>
      <c r="B194" s="22" t="n">
        <f aca="false">apexfoot!H195</f>
        <v>221.9</v>
      </c>
      <c r="C194" s="22" t="n">
        <f aca="false">bxpharma!H195</f>
        <v>102</v>
      </c>
      <c r="D194" s="22" t="n">
        <f aca="false">batbc!H195</f>
        <v>319</v>
      </c>
      <c r="E194" s="6" t="n">
        <f aca="false">LN(A193/A194)</f>
        <v>-0.0168071183163813</v>
      </c>
      <c r="F194" s="6" t="n">
        <f aca="false">LN(B193/B194)</f>
        <v>0.0031496089028962</v>
      </c>
      <c r="G194" s="6" t="n">
        <f aca="false">LN(C193/C194)</f>
        <v>0.0299394645986343</v>
      </c>
      <c r="H194" s="6" t="n">
        <f aca="false">LN(D193/D194)</f>
        <v>0.00219195328095113</v>
      </c>
      <c r="I194" s="6" t="n">
        <f aca="false">E194-$I$2</f>
        <v>-0.0172202539096016</v>
      </c>
      <c r="J194" s="6" t="n">
        <f aca="false">F194-$J$2</f>
        <v>0.00273647330967586</v>
      </c>
      <c r="K194" s="6" t="n">
        <f aca="false">G194-$K$2</f>
        <v>0.0295263290054139</v>
      </c>
      <c r="L194" s="6" t="n">
        <f aca="false">H194-$L$2</f>
        <v>0.00177881768773079</v>
      </c>
      <c r="S194" s="9" t="n">
        <v>0.72</v>
      </c>
      <c r="T194" s="9" t="n">
        <v>0.28</v>
      </c>
      <c r="U194" s="9" t="n">
        <v>0.13</v>
      </c>
      <c r="V194" s="9" t="n">
        <v>0.72</v>
      </c>
      <c r="W194" s="22" t="n">
        <f aca="false">SUM(S194:V194)</f>
        <v>1.85</v>
      </c>
      <c r="X194" s="23" t="n">
        <f aca="false">S194/$W194</f>
        <v>0.389189189189189</v>
      </c>
      <c r="Y194" s="23" t="n">
        <f aca="false">T194/$W194</f>
        <v>0.151351351351351</v>
      </c>
      <c r="Z194" s="23" t="n">
        <f aca="false">U194/$W194</f>
        <v>0.0702702702702703</v>
      </c>
      <c r="AA194" s="23" t="n">
        <f aca="false">V194/$W194</f>
        <v>0.389189189189189</v>
      </c>
      <c r="AB194" s="23" t="n">
        <f aca="false">SUM(X194:AA194)</f>
        <v>1</v>
      </c>
      <c r="AC194" s="6" t="n">
        <f aca="false" t="array" ref="AC194:AC194">MMULT(MMULT(X194:AA194,$N$2:$Q$5),TRANSPOSE(X194:AA194))</f>
        <v>0.000300605134273011</v>
      </c>
      <c r="AD194" s="6" t="n">
        <f aca="false">SUMPRODUCT(X194:AA194,$E$237:$H$237)</f>
        <v>-8.31003357045978E-005</v>
      </c>
      <c r="AE194" s="24" t="n">
        <f aca="false">(AD194-$I$2)/SQRT(AC194)</f>
        <v>-0.0286213429972985</v>
      </c>
      <c r="AF194" s="6" t="n">
        <f aca="false">AD194</f>
        <v>-8.31003357045978E-005</v>
      </c>
      <c r="AG194" s="6" t="n">
        <f aca="false">AC194</f>
        <v>0.000300605134273011</v>
      </c>
      <c r="AH194" s="23" t="n">
        <f aca="false">X194</f>
        <v>0.389189189189189</v>
      </c>
      <c r="AI194" s="23" t="n">
        <f aca="false">Y194</f>
        <v>0.151351351351351</v>
      </c>
      <c r="AJ194" s="23" t="n">
        <f aca="false">Z194</f>
        <v>0.0702702702702703</v>
      </c>
      <c r="AK194" s="23" t="n">
        <f aca="false">AA194</f>
        <v>0.389189189189189</v>
      </c>
    </row>
    <row r="195" customFormat="false" ht="15" hidden="false" customHeight="true" outlineLevel="0" collapsed="false">
      <c r="A195" s="22" t="n">
        <f aca="false">aci!H196</f>
        <v>115.1</v>
      </c>
      <c r="B195" s="22" t="n">
        <f aca="false">apexfoot!H196</f>
        <v>222.8</v>
      </c>
      <c r="C195" s="22" t="n">
        <f aca="false">bxpharma!H196</f>
        <v>100.4</v>
      </c>
      <c r="D195" s="22" t="n">
        <f aca="false">batbc!H196</f>
        <v>321.2</v>
      </c>
      <c r="E195" s="6" t="n">
        <f aca="false">LN(A194/A195)</f>
        <v>-0.00960286733334147</v>
      </c>
      <c r="F195" s="6" t="n">
        <f aca="false">LN(B194/B195)</f>
        <v>-0.00404767811458074</v>
      </c>
      <c r="G195" s="6" t="n">
        <f aca="false">LN(C194/C195)</f>
        <v>0.0158106060266422</v>
      </c>
      <c r="H195" s="6" t="n">
        <f aca="false">LN(D194/D195)</f>
        <v>-0.00687287928776195</v>
      </c>
      <c r="I195" s="6" t="n">
        <f aca="false">E195-$I$2</f>
        <v>-0.0100160029265618</v>
      </c>
      <c r="J195" s="6" t="n">
        <f aca="false">F195-$J$2</f>
        <v>-0.00446081370780108</v>
      </c>
      <c r="K195" s="6" t="n">
        <f aca="false">G195-$K$2</f>
        <v>0.0153974704334219</v>
      </c>
      <c r="L195" s="6" t="n">
        <f aca="false">H195-$L$2</f>
        <v>-0.00728601488098229</v>
      </c>
      <c r="S195" s="9" t="n">
        <v>0.51</v>
      </c>
      <c r="T195" s="9" t="n">
        <v>0.57</v>
      </c>
      <c r="U195" s="9" t="n">
        <v>0.59</v>
      </c>
      <c r="V195" s="9" t="n">
        <v>0.8</v>
      </c>
      <c r="W195" s="22" t="n">
        <f aca="false">SUM(S195:V195)</f>
        <v>2.47</v>
      </c>
      <c r="X195" s="23" t="n">
        <f aca="false">S195/$W195</f>
        <v>0.206477732793522</v>
      </c>
      <c r="Y195" s="23" t="n">
        <f aca="false">T195/$W195</f>
        <v>0.230769230769231</v>
      </c>
      <c r="Z195" s="23" t="n">
        <f aca="false">U195/$W195</f>
        <v>0.238866396761134</v>
      </c>
      <c r="AA195" s="23" t="n">
        <f aca="false">V195/$W195</f>
        <v>0.323886639676113</v>
      </c>
      <c r="AB195" s="23" t="n">
        <f aca="false">SUM(X195:AA195)</f>
        <v>1</v>
      </c>
      <c r="AC195" s="6" t="n">
        <f aca="false" t="array" ref="AC195:AC195">MMULT(MMULT(X195:AA195,$N$2:$Q$5),TRANSPOSE(X195:AA195))</f>
        <v>0.000221987193708393</v>
      </c>
      <c r="AD195" s="6" t="n">
        <f aca="false">SUMPRODUCT(X195:AA195,$E$237:$H$237)</f>
        <v>-0.000338346641209858</v>
      </c>
      <c r="AE195" s="24" t="n">
        <f aca="false">(AD195-$I$2)/SQRT(AC195)</f>
        <v>-0.0504376399961456</v>
      </c>
      <c r="AF195" s="6" t="n">
        <f aca="false">AD195</f>
        <v>-0.000338346641209858</v>
      </c>
      <c r="AG195" s="6" t="n">
        <f aca="false">AC195</f>
        <v>0.000221987193708393</v>
      </c>
      <c r="AH195" s="23" t="n">
        <f aca="false">X195</f>
        <v>0.206477732793522</v>
      </c>
      <c r="AI195" s="23" t="n">
        <f aca="false">Y195</f>
        <v>0.230769230769231</v>
      </c>
      <c r="AJ195" s="23" t="n">
        <f aca="false">Z195</f>
        <v>0.238866396761134</v>
      </c>
      <c r="AK195" s="23" t="n">
        <f aca="false">AA195</f>
        <v>0.323886639676113</v>
      </c>
    </row>
    <row r="196" customFormat="false" ht="15" hidden="false" customHeight="true" outlineLevel="0" collapsed="false">
      <c r="A196" s="22" t="n">
        <f aca="false">aci!H197</f>
        <v>118.6</v>
      </c>
      <c r="B196" s="22" t="n">
        <f aca="false">apexfoot!H197</f>
        <v>225.9</v>
      </c>
      <c r="C196" s="22" t="n">
        <f aca="false">bxpharma!H197</f>
        <v>102.8</v>
      </c>
      <c r="D196" s="22" t="n">
        <f aca="false">batbc!H197</f>
        <v>323.6</v>
      </c>
      <c r="E196" s="6" t="n">
        <f aca="false">LN(A195/A196)</f>
        <v>-0.0299551708357882</v>
      </c>
      <c r="F196" s="6" t="n">
        <f aca="false">LN(B195/B196)</f>
        <v>-0.0138179154208286</v>
      </c>
      <c r="G196" s="6" t="n">
        <f aca="false">LN(C195/C196)</f>
        <v>-0.0236231457634358</v>
      </c>
      <c r="H196" s="6" t="n">
        <f aca="false">LN(D195/D196)</f>
        <v>-0.00744420311173008</v>
      </c>
      <c r="I196" s="6" t="n">
        <f aca="false">E196-$I$2</f>
        <v>-0.0303683064290085</v>
      </c>
      <c r="J196" s="6" t="n">
        <f aca="false">F196-$J$2</f>
        <v>-0.0142310510140489</v>
      </c>
      <c r="K196" s="6" t="n">
        <f aca="false">G196-$K$2</f>
        <v>-0.0240362813566562</v>
      </c>
      <c r="L196" s="6" t="n">
        <f aca="false">H196-$L$2</f>
        <v>-0.00785733870495042</v>
      </c>
      <c r="S196" s="9" t="n">
        <v>0.5</v>
      </c>
      <c r="T196" s="9" t="n">
        <v>0.31</v>
      </c>
      <c r="U196" s="9" t="n">
        <v>0.06</v>
      </c>
      <c r="V196" s="9" t="n">
        <v>0.9</v>
      </c>
      <c r="W196" s="22" t="n">
        <f aca="false">SUM(S196:V196)</f>
        <v>1.77</v>
      </c>
      <c r="X196" s="23" t="n">
        <f aca="false">S196/$W196</f>
        <v>0.282485875706215</v>
      </c>
      <c r="Y196" s="23" t="n">
        <f aca="false">T196/$W196</f>
        <v>0.175141242937853</v>
      </c>
      <c r="Z196" s="23" t="n">
        <f aca="false">U196/$W196</f>
        <v>0.0338983050847458</v>
      </c>
      <c r="AA196" s="23" t="n">
        <f aca="false">V196/$W196</f>
        <v>0.508474576271186</v>
      </c>
      <c r="AB196" s="23" t="n">
        <f aca="false">SUM(X196:AA196)</f>
        <v>1</v>
      </c>
      <c r="AC196" s="6" t="n">
        <f aca="false" t="array" ref="AC196:AC196">MMULT(MMULT(X196:AA196,$N$2:$Q$5),TRANSPOSE(X196:AA196))</f>
        <v>0.000277195626979974</v>
      </c>
      <c r="AD196" s="6" t="n">
        <f aca="false">SUMPRODUCT(X196:AA196,$E$237:$H$237)</f>
        <v>-0.000318973755130358</v>
      </c>
      <c r="AE196" s="24" t="n">
        <f aca="false">(AD196-$I$2)/SQRT(AC196)</f>
        <v>-0.0439726627654026</v>
      </c>
      <c r="AF196" s="6" t="n">
        <f aca="false">AD196</f>
        <v>-0.000318973755130358</v>
      </c>
      <c r="AG196" s="6" t="n">
        <f aca="false">AC196</f>
        <v>0.000277195626979974</v>
      </c>
      <c r="AH196" s="23" t="n">
        <f aca="false">X196</f>
        <v>0.282485875706215</v>
      </c>
      <c r="AI196" s="23" t="n">
        <f aca="false">Y196</f>
        <v>0.175141242937853</v>
      </c>
      <c r="AJ196" s="23" t="n">
        <f aca="false">Z196</f>
        <v>0.0338983050847458</v>
      </c>
      <c r="AK196" s="23" t="n">
        <f aca="false">AA196</f>
        <v>0.508474576271186</v>
      </c>
    </row>
    <row r="197" customFormat="false" ht="15" hidden="false" customHeight="true" outlineLevel="0" collapsed="false">
      <c r="A197" s="22" t="n">
        <f aca="false">aci!H198</f>
        <v>120.2</v>
      </c>
      <c r="B197" s="22" t="n">
        <f aca="false">apexfoot!H198</f>
        <v>230.5</v>
      </c>
      <c r="C197" s="22" t="n">
        <f aca="false">bxpharma!H198</f>
        <v>104</v>
      </c>
      <c r="D197" s="22" t="n">
        <f aca="false">batbc!H198</f>
        <v>329.4</v>
      </c>
      <c r="E197" s="6" t="n">
        <f aca="false">LN(A196/A197)</f>
        <v>-0.0134005355374822</v>
      </c>
      <c r="F197" s="6" t="n">
        <f aca="false">LN(B196/B197)</f>
        <v>-0.0201584389627456</v>
      </c>
      <c r="G197" s="6" t="n">
        <f aca="false">LN(C196/C197)</f>
        <v>-0.011605546120308</v>
      </c>
      <c r="H197" s="6" t="n">
        <f aca="false">LN(D196/D197)</f>
        <v>-0.0177646325592032</v>
      </c>
      <c r="I197" s="6" t="n">
        <f aca="false">E197-$I$2</f>
        <v>-0.0138136711307026</v>
      </c>
      <c r="J197" s="6" t="n">
        <f aca="false">F197-$J$2</f>
        <v>-0.0205715745559659</v>
      </c>
      <c r="K197" s="6" t="n">
        <f aca="false">G197-$K$2</f>
        <v>-0.0120186817135283</v>
      </c>
      <c r="L197" s="6" t="n">
        <f aca="false">H197-$L$2</f>
        <v>-0.0181777681524236</v>
      </c>
      <c r="S197" s="9" t="n">
        <v>0.15</v>
      </c>
      <c r="T197" s="9" t="n">
        <v>0.61</v>
      </c>
      <c r="U197" s="9" t="n">
        <v>0.75</v>
      </c>
      <c r="V197" s="9" t="n">
        <v>0.82</v>
      </c>
      <c r="W197" s="22" t="n">
        <f aca="false">SUM(S197:V197)</f>
        <v>2.33</v>
      </c>
      <c r="X197" s="23" t="n">
        <f aca="false">S197/$W197</f>
        <v>0.0643776824034335</v>
      </c>
      <c r="Y197" s="23" t="n">
        <f aca="false">T197/$W197</f>
        <v>0.261802575107296</v>
      </c>
      <c r="Z197" s="23" t="n">
        <f aca="false">U197/$W197</f>
        <v>0.321888412017167</v>
      </c>
      <c r="AA197" s="23" t="n">
        <f aca="false">V197/$W197</f>
        <v>0.351931330472103</v>
      </c>
      <c r="AB197" s="23" t="n">
        <f aca="false">SUM(X197:AA197)</f>
        <v>1</v>
      </c>
      <c r="AC197" s="6" t="n">
        <f aca="false" t="array" ref="AC197:AC197">MMULT(MMULT(X197:AA197,$N$2:$Q$5),TRANSPOSE(X197:AA197))</f>
        <v>0.000203345553330796</v>
      </c>
      <c r="AD197" s="6" t="n">
        <f aca="false">SUMPRODUCT(X197:AA197,$E$237:$H$237)</f>
        <v>-0.000575653446111874</v>
      </c>
      <c r="AE197" s="24" t="n">
        <f aca="false">(AD197-$I$2)/SQRT(AC197)</f>
        <v>-0.0693403937862074</v>
      </c>
      <c r="AF197" s="6" t="n">
        <f aca="false">AD197</f>
        <v>-0.000575653446111874</v>
      </c>
      <c r="AG197" s="6" t="n">
        <f aca="false">AC197</f>
        <v>0.000203345553330796</v>
      </c>
      <c r="AH197" s="23" t="n">
        <f aca="false">X197</f>
        <v>0.0643776824034335</v>
      </c>
      <c r="AI197" s="23" t="n">
        <f aca="false">Y197</f>
        <v>0.261802575107296</v>
      </c>
      <c r="AJ197" s="23" t="n">
        <f aca="false">Z197</f>
        <v>0.321888412017167</v>
      </c>
      <c r="AK197" s="23" t="n">
        <f aca="false">AA197</f>
        <v>0.351931330472103</v>
      </c>
    </row>
    <row r="198" customFormat="false" ht="15" hidden="false" customHeight="true" outlineLevel="0" collapsed="false">
      <c r="A198" s="22" t="n">
        <f aca="false">aci!H199</f>
        <v>123.6</v>
      </c>
      <c r="B198" s="22" t="n">
        <f aca="false">apexfoot!H199</f>
        <v>234.3</v>
      </c>
      <c r="C198" s="22" t="n">
        <f aca="false">bxpharma!H199</f>
        <v>106.8</v>
      </c>
      <c r="D198" s="22" t="n">
        <f aca="false">batbc!H199</f>
        <v>326.5</v>
      </c>
      <c r="E198" s="6" t="n">
        <f aca="false">LN(A197/A198)</f>
        <v>-0.0278935229224831</v>
      </c>
      <c r="F198" s="6" t="n">
        <f aca="false">LN(B197/B198)</f>
        <v>-0.0163514830770469</v>
      </c>
      <c r="G198" s="6" t="n">
        <f aca="false">LN(C197/C198)</f>
        <v>-0.0265670273847218</v>
      </c>
      <c r="H198" s="6" t="n">
        <f aca="false">LN(D197/D198)</f>
        <v>0.00884286902705422</v>
      </c>
      <c r="I198" s="6" t="n">
        <f aca="false">E198-$I$2</f>
        <v>-0.0283066585157035</v>
      </c>
      <c r="J198" s="6" t="n">
        <f aca="false">F198-$J$2</f>
        <v>-0.0167646186702672</v>
      </c>
      <c r="K198" s="6" t="n">
        <f aca="false">G198-$K$2</f>
        <v>-0.0269801629779421</v>
      </c>
      <c r="L198" s="6" t="n">
        <f aca="false">H198-$L$2</f>
        <v>0.00842973343383388</v>
      </c>
      <c r="S198" s="9" t="n">
        <v>0.84</v>
      </c>
      <c r="T198" s="9" t="n">
        <v>0.5</v>
      </c>
      <c r="U198" s="9" t="n">
        <v>0.55</v>
      </c>
      <c r="V198" s="9" t="n">
        <v>0.1</v>
      </c>
      <c r="W198" s="22" t="n">
        <f aca="false">SUM(S198:V198)</f>
        <v>1.99</v>
      </c>
      <c r="X198" s="23" t="n">
        <f aca="false">S198/$W198</f>
        <v>0.422110552763819</v>
      </c>
      <c r="Y198" s="23" t="n">
        <f aca="false">T198/$W198</f>
        <v>0.251256281407035</v>
      </c>
      <c r="Z198" s="23" t="n">
        <f aca="false">U198/$W198</f>
        <v>0.276381909547739</v>
      </c>
      <c r="AA198" s="23" t="n">
        <f aca="false">V198/$W198</f>
        <v>0.050251256281407</v>
      </c>
      <c r="AB198" s="23" t="n">
        <f aca="false">SUM(X198:AA198)</f>
        <v>1</v>
      </c>
      <c r="AC198" s="6" t="n">
        <f aca="false" t="array" ref="AC198:AC198">MMULT(MMULT(X198:AA198,$N$2:$Q$5),TRANSPOSE(X198:AA198))</f>
        <v>0.000293437988114553</v>
      </c>
      <c r="AD198" s="6" t="n">
        <f aca="false">SUMPRODUCT(X198:AA198,$E$237:$H$237)</f>
        <v>0.000140896611179894</v>
      </c>
      <c r="AE198" s="24" t="n">
        <f aca="false">(AD198-$I$2)/SQRT(AC198)</f>
        <v>-0.0158924972146724</v>
      </c>
      <c r="AF198" s="6" t="n">
        <f aca="false">AD198</f>
        <v>0.000140896611179894</v>
      </c>
      <c r="AG198" s="6" t="n">
        <f aca="false">AC198</f>
        <v>0.000293437988114553</v>
      </c>
      <c r="AH198" s="23" t="n">
        <f aca="false">X198</f>
        <v>0.422110552763819</v>
      </c>
      <c r="AI198" s="23" t="n">
        <f aca="false">Y198</f>
        <v>0.251256281407035</v>
      </c>
      <c r="AJ198" s="23" t="n">
        <f aca="false">Z198</f>
        <v>0.276381909547739</v>
      </c>
      <c r="AK198" s="23" t="n">
        <f aca="false">AA198</f>
        <v>0.050251256281407</v>
      </c>
    </row>
    <row r="199" customFormat="false" ht="15" hidden="false" customHeight="true" outlineLevel="0" collapsed="false">
      <c r="A199" s="22" t="n">
        <f aca="false">aci!H200</f>
        <v>125.2</v>
      </c>
      <c r="B199" s="22" t="n">
        <f aca="false">apexfoot!H200</f>
        <v>215.5</v>
      </c>
      <c r="C199" s="22" t="n">
        <f aca="false">bxpharma!H200</f>
        <v>108</v>
      </c>
      <c r="D199" s="22" t="n">
        <f aca="false">batbc!H200</f>
        <v>324.4</v>
      </c>
      <c r="E199" s="6" t="n">
        <f aca="false">LN(A198/A199)</f>
        <v>-0.0128619136424078</v>
      </c>
      <c r="F199" s="6" t="n">
        <f aca="false">LN(B198/B199)</f>
        <v>0.0836414359699475</v>
      </c>
      <c r="G199" s="6" t="n">
        <f aca="false">LN(C198/C199)</f>
        <v>-0.0111733005981253</v>
      </c>
      <c r="H199" s="6" t="n">
        <f aca="false">LN(D198/D199)</f>
        <v>0.006452626475228</v>
      </c>
      <c r="I199" s="6" t="n">
        <f aca="false">E199-$I$2</f>
        <v>-0.0132750492356282</v>
      </c>
      <c r="J199" s="6" t="n">
        <f aca="false">F199-$J$2</f>
        <v>0.0832283003767271</v>
      </c>
      <c r="K199" s="6" t="n">
        <f aca="false">G199-$K$2</f>
        <v>-0.0115864361913456</v>
      </c>
      <c r="L199" s="6" t="n">
        <f aca="false">H199-$L$2</f>
        <v>0.00603949088200766</v>
      </c>
      <c r="S199" s="9" t="n">
        <v>0.22</v>
      </c>
      <c r="T199" s="9" t="n">
        <v>0.88</v>
      </c>
      <c r="U199" s="9" t="n">
        <v>1</v>
      </c>
      <c r="V199" s="9" t="n">
        <v>0.31</v>
      </c>
      <c r="W199" s="22" t="n">
        <f aca="false">SUM(S199:V199)</f>
        <v>2.41</v>
      </c>
      <c r="X199" s="23" t="n">
        <f aca="false">S199/$W199</f>
        <v>0.0912863070539419</v>
      </c>
      <c r="Y199" s="23" t="n">
        <f aca="false">T199/$W199</f>
        <v>0.365145228215768</v>
      </c>
      <c r="Z199" s="23" t="n">
        <f aca="false">U199/$W199</f>
        <v>0.4149377593361</v>
      </c>
      <c r="AA199" s="23" t="n">
        <f aca="false">V199/$W199</f>
        <v>0.128630705394191</v>
      </c>
      <c r="AB199" s="23" t="n">
        <f aca="false">SUM(X199:AA199)</f>
        <v>1</v>
      </c>
      <c r="AC199" s="6" t="n">
        <f aca="false" t="array" ref="AC199:AC199">MMULT(MMULT(X199:AA199,$N$2:$Q$5),TRANSPOSE(X199:AA199))</f>
        <v>0.000223238395449697</v>
      </c>
      <c r="AD199" s="6" t="n">
        <f aca="false">SUMPRODUCT(X199:AA199,$E$237:$H$237)</f>
        <v>-0.000429278821744031</v>
      </c>
      <c r="AE199" s="24" t="n">
        <f aca="false">(AD199-$I$2)/SQRT(AC199)</f>
        <v>-0.0563821124628585</v>
      </c>
      <c r="AF199" s="6" t="n">
        <f aca="false">AD199</f>
        <v>-0.000429278821744031</v>
      </c>
      <c r="AG199" s="6" t="n">
        <f aca="false">AC199</f>
        <v>0.000223238395449697</v>
      </c>
      <c r="AH199" s="23" t="n">
        <f aca="false">X199</f>
        <v>0.0912863070539419</v>
      </c>
      <c r="AI199" s="23" t="n">
        <f aca="false">Y199</f>
        <v>0.365145228215768</v>
      </c>
      <c r="AJ199" s="23" t="n">
        <f aca="false">Z199</f>
        <v>0.4149377593361</v>
      </c>
      <c r="AK199" s="23" t="n">
        <f aca="false">AA199</f>
        <v>0.128630705394191</v>
      </c>
    </row>
    <row r="200" customFormat="false" ht="15" hidden="false" customHeight="true" outlineLevel="0" collapsed="false">
      <c r="A200" s="22" t="n">
        <f aca="false">aci!H201</f>
        <v>127.1</v>
      </c>
      <c r="B200" s="22" t="n">
        <f aca="false">apexfoot!H201</f>
        <v>214.9</v>
      </c>
      <c r="C200" s="22" t="n">
        <f aca="false">bxpharma!H201</f>
        <v>109.9</v>
      </c>
      <c r="D200" s="22" t="n">
        <f aca="false">batbc!H201</f>
        <v>325.5</v>
      </c>
      <c r="E200" s="6" t="n">
        <f aca="false">LN(A199/A200)</f>
        <v>-0.0150617195294102</v>
      </c>
      <c r="F200" s="6" t="n">
        <f aca="false">LN(B199/B200)</f>
        <v>0.00278810589533758</v>
      </c>
      <c r="G200" s="6" t="n">
        <f aca="false">LN(C199/C200)</f>
        <v>-0.0174396342853561</v>
      </c>
      <c r="H200" s="6" t="n">
        <f aca="false">LN(D199/D200)</f>
        <v>-0.00338513940736614</v>
      </c>
      <c r="I200" s="6" t="n">
        <f aca="false">E200-$I$2</f>
        <v>-0.0154748551226305</v>
      </c>
      <c r="J200" s="6" t="n">
        <f aca="false">F200-$J$2</f>
        <v>0.00237497030211724</v>
      </c>
      <c r="K200" s="6" t="n">
        <f aca="false">G200-$K$2</f>
        <v>-0.0178527698785764</v>
      </c>
      <c r="L200" s="6" t="n">
        <f aca="false">H200-$L$2</f>
        <v>-0.00379827500058648</v>
      </c>
      <c r="S200" s="9" t="n">
        <v>0.72</v>
      </c>
      <c r="T200" s="9" t="n">
        <v>0.38</v>
      </c>
      <c r="U200" s="9" t="n">
        <v>0.22</v>
      </c>
      <c r="V200" s="9" t="n">
        <v>0.16</v>
      </c>
      <c r="W200" s="22" t="n">
        <f aca="false">SUM(S200:V200)</f>
        <v>1.48</v>
      </c>
      <c r="X200" s="23" t="n">
        <f aca="false">S200/$W200</f>
        <v>0.486486486486486</v>
      </c>
      <c r="Y200" s="23" t="n">
        <f aca="false">T200/$W200</f>
        <v>0.256756756756757</v>
      </c>
      <c r="Z200" s="23" t="n">
        <f aca="false">U200/$W200</f>
        <v>0.148648648648649</v>
      </c>
      <c r="AA200" s="23" t="n">
        <f aca="false">V200/$W200</f>
        <v>0.108108108108108</v>
      </c>
      <c r="AB200" s="23" t="n">
        <f aca="false">SUM(X200:AA200)</f>
        <v>1</v>
      </c>
      <c r="AC200" s="6" t="n">
        <f aca="false" t="array" ref="AC200:AC200">MMULT(MMULT(X200:AA200,$N$2:$Q$5),TRANSPOSE(X200:AA200))</f>
        <v>0.000315811666934569</v>
      </c>
      <c r="AD200" s="6" t="n">
        <f aca="false">SUMPRODUCT(X200:AA200,$E$237:$H$237)</f>
        <v>0.000202342951198941</v>
      </c>
      <c r="AE200" s="24" t="n">
        <f aca="false">(AD200-$I$2)/SQRT(AC200)</f>
        <v>-0.011861547770101</v>
      </c>
      <c r="AF200" s="6" t="n">
        <f aca="false">AD200</f>
        <v>0.000202342951198941</v>
      </c>
      <c r="AG200" s="6" t="n">
        <f aca="false">AC200</f>
        <v>0.000315811666934569</v>
      </c>
      <c r="AH200" s="23" t="n">
        <f aca="false">X200</f>
        <v>0.486486486486486</v>
      </c>
      <c r="AI200" s="23" t="n">
        <f aca="false">Y200</f>
        <v>0.256756756756757</v>
      </c>
      <c r="AJ200" s="23" t="n">
        <f aca="false">Z200</f>
        <v>0.148648648648649</v>
      </c>
      <c r="AK200" s="23" t="n">
        <f aca="false">AA200</f>
        <v>0.108108108108108</v>
      </c>
    </row>
    <row r="201" customFormat="false" ht="15" hidden="false" customHeight="true" outlineLevel="0" collapsed="false">
      <c r="A201" s="22" t="n">
        <f aca="false">aci!H202</f>
        <v>126.6</v>
      </c>
      <c r="B201" s="22" t="n">
        <f aca="false">apexfoot!H202</f>
        <v>212.2</v>
      </c>
      <c r="C201" s="22" t="n">
        <f aca="false">bxpharma!H202</f>
        <v>108</v>
      </c>
      <c r="D201" s="22" t="n">
        <f aca="false">batbc!H202</f>
        <v>329.6</v>
      </c>
      <c r="E201" s="6" t="n">
        <f aca="false">LN(A200/A201)</f>
        <v>0.00394166848533247</v>
      </c>
      <c r="F201" s="6" t="n">
        <f aca="false">LN(B200/B201)</f>
        <v>0.0126435774685821</v>
      </c>
      <c r="G201" s="6" t="n">
        <f aca="false">LN(C200/C201)</f>
        <v>0.017439634285356</v>
      </c>
      <c r="H201" s="6" t="n">
        <f aca="false">LN(D200/D201)</f>
        <v>-0.0125173363866928</v>
      </c>
      <c r="I201" s="6" t="n">
        <f aca="false">E201-$I$2</f>
        <v>0.00352853289211213</v>
      </c>
      <c r="J201" s="6" t="n">
        <f aca="false">F201-$J$2</f>
        <v>0.0122304418753617</v>
      </c>
      <c r="K201" s="6" t="n">
        <f aca="false">G201-$K$2</f>
        <v>0.0170264986921357</v>
      </c>
      <c r="L201" s="6" t="n">
        <f aca="false">H201-$L$2</f>
        <v>-0.0129304719799131</v>
      </c>
      <c r="S201" s="9" t="n">
        <v>0.58</v>
      </c>
      <c r="T201" s="9" t="n">
        <v>0.16</v>
      </c>
      <c r="U201" s="9" t="n">
        <v>0.84</v>
      </c>
      <c r="V201" s="9" t="n">
        <v>0.94</v>
      </c>
      <c r="W201" s="22" t="n">
        <f aca="false">SUM(S201:V201)</f>
        <v>2.52</v>
      </c>
      <c r="X201" s="23" t="n">
        <f aca="false">S201/$W201</f>
        <v>0.23015873015873</v>
      </c>
      <c r="Y201" s="23" t="n">
        <f aca="false">T201/$W201</f>
        <v>0.0634920634920635</v>
      </c>
      <c r="Z201" s="23" t="n">
        <f aca="false">U201/$W201</f>
        <v>0.333333333333333</v>
      </c>
      <c r="AA201" s="23" t="n">
        <f aca="false">V201/$W201</f>
        <v>0.373015873015873</v>
      </c>
      <c r="AB201" s="23" t="n">
        <f aca="false">SUM(X201:AA201)</f>
        <v>1</v>
      </c>
      <c r="AC201" s="6" t="n">
        <f aca="false" t="array" ref="AC201:AC201">MMULT(MMULT(X201:AA201,$N$2:$Q$5),TRANSPOSE(X201:AA201))</f>
        <v>0.000253619696594994</v>
      </c>
      <c r="AD201" s="6" t="n">
        <f aca="false">SUMPRODUCT(X201:AA201,$E$237:$H$237)</f>
        <v>-0.00029128278875912</v>
      </c>
      <c r="AE201" s="24" t="n">
        <f aca="false">(AD201-$I$2)/SQRT(AC201)</f>
        <v>-0.0442322662522629</v>
      </c>
      <c r="AF201" s="6" t="n">
        <f aca="false">AD201</f>
        <v>-0.00029128278875912</v>
      </c>
      <c r="AG201" s="6" t="n">
        <f aca="false">AC201</f>
        <v>0.000253619696594994</v>
      </c>
      <c r="AH201" s="23" t="n">
        <f aca="false">X201</f>
        <v>0.23015873015873</v>
      </c>
      <c r="AI201" s="23" t="n">
        <f aca="false">Y201</f>
        <v>0.0634920634920635</v>
      </c>
      <c r="AJ201" s="23" t="n">
        <f aca="false">Z201</f>
        <v>0.333333333333333</v>
      </c>
      <c r="AK201" s="23" t="n">
        <f aca="false">AA201</f>
        <v>0.373015873015873</v>
      </c>
    </row>
    <row r="202" customFormat="false" ht="15" hidden="false" customHeight="true" outlineLevel="0" collapsed="false">
      <c r="A202" s="22" t="n">
        <f aca="false">aci!H203</f>
        <v>126.9</v>
      </c>
      <c r="B202" s="22" t="n">
        <f aca="false">apexfoot!H203</f>
        <v>214.9</v>
      </c>
      <c r="C202" s="22" t="n">
        <f aca="false">bxpharma!H203</f>
        <v>108.5</v>
      </c>
      <c r="D202" s="22" t="n">
        <f aca="false">batbc!H203</f>
        <v>329.9</v>
      </c>
      <c r="E202" s="6" t="n">
        <f aca="false">LN(A201/A202)</f>
        <v>-0.00236686501026628</v>
      </c>
      <c r="F202" s="6" t="n">
        <f aca="false">LN(B201/B202)</f>
        <v>-0.0126435774685821</v>
      </c>
      <c r="G202" s="6" t="n">
        <f aca="false">LN(C201/C202)</f>
        <v>-0.00461894585629453</v>
      </c>
      <c r="H202" s="6" t="n">
        <f aca="false">LN(D201/D202)</f>
        <v>-0.000909780199219005</v>
      </c>
      <c r="I202" s="6" t="n">
        <f aca="false">E202-$I$2</f>
        <v>-0.00278000060348662</v>
      </c>
      <c r="J202" s="6" t="n">
        <f aca="false">F202-$J$2</f>
        <v>-0.0130567130618025</v>
      </c>
      <c r="K202" s="6" t="n">
        <f aca="false">G202-$K$2</f>
        <v>-0.00503208144951487</v>
      </c>
      <c r="L202" s="6" t="n">
        <f aca="false">H202-$L$2</f>
        <v>-0.00132291579243934</v>
      </c>
      <c r="S202" s="9" t="n">
        <v>0.87</v>
      </c>
      <c r="T202" s="9" t="n">
        <v>0.55</v>
      </c>
      <c r="U202" s="9" t="n">
        <v>0.37</v>
      </c>
      <c r="V202" s="9" t="n">
        <v>0.24</v>
      </c>
      <c r="W202" s="22" t="n">
        <f aca="false">SUM(S202:V202)</f>
        <v>2.03</v>
      </c>
      <c r="X202" s="23" t="n">
        <f aca="false">S202/$W202</f>
        <v>0.428571428571429</v>
      </c>
      <c r="Y202" s="23" t="n">
        <f aca="false">T202/$W202</f>
        <v>0.270935960591133</v>
      </c>
      <c r="Z202" s="23" t="n">
        <f aca="false">U202/$W202</f>
        <v>0.182266009852217</v>
      </c>
      <c r="AA202" s="23" t="n">
        <f aca="false">V202/$W202</f>
        <v>0.118226600985222</v>
      </c>
      <c r="AB202" s="23" t="n">
        <f aca="false">SUM(X202:AA202)</f>
        <v>1</v>
      </c>
      <c r="AC202" s="6" t="n">
        <f aca="false" t="array" ref="AC202:AC202">MMULT(MMULT(X202:AA202,$N$2:$Q$5),TRANSPOSE(X202:AA202))</f>
        <v>0.000288365259567951</v>
      </c>
      <c r="AD202" s="6" t="n">
        <f aca="false">SUMPRODUCT(X202:AA202,$E$237:$H$237)</f>
        <v>0.000106024714613433</v>
      </c>
      <c r="AE202" s="24" t="n">
        <f aca="false">(AD202-$I$2)/SQRT(AC202)</f>
        <v>-0.0180852173034075</v>
      </c>
      <c r="AF202" s="6" t="n">
        <f aca="false">AD202</f>
        <v>0.000106024714613433</v>
      </c>
      <c r="AG202" s="6" t="n">
        <f aca="false">AC202</f>
        <v>0.000288365259567951</v>
      </c>
      <c r="AH202" s="23" t="n">
        <f aca="false">X202</f>
        <v>0.428571428571429</v>
      </c>
      <c r="AI202" s="23" t="n">
        <f aca="false">Y202</f>
        <v>0.270935960591133</v>
      </c>
      <c r="AJ202" s="23" t="n">
        <f aca="false">Z202</f>
        <v>0.182266009852217</v>
      </c>
      <c r="AK202" s="23" t="n">
        <f aca="false">AA202</f>
        <v>0.118226600985222</v>
      </c>
    </row>
    <row r="203" customFormat="false" ht="15" hidden="false" customHeight="true" outlineLevel="0" collapsed="false">
      <c r="A203" s="22" t="n">
        <f aca="false">aci!H204</f>
        <v>128.2</v>
      </c>
      <c r="B203" s="22" t="n">
        <f aca="false">apexfoot!H204</f>
        <v>214.4</v>
      </c>
      <c r="C203" s="22" t="n">
        <f aca="false">bxpharma!H204</f>
        <v>109.1</v>
      </c>
      <c r="D203" s="22" t="n">
        <f aca="false">batbc!H204</f>
        <v>328.8</v>
      </c>
      <c r="E203" s="6" t="n">
        <f aca="false">LN(A202/A203)</f>
        <v>-0.0101921697662276</v>
      </c>
      <c r="F203" s="6" t="n">
        <f aca="false">LN(B202/B203)</f>
        <v>0.00232937445181778</v>
      </c>
      <c r="G203" s="6" t="n">
        <f aca="false">LN(C202/C203)</f>
        <v>-0.00551471985851086</v>
      </c>
      <c r="H203" s="6" t="n">
        <f aca="false">LN(D202/D203)</f>
        <v>0.00333991505251082</v>
      </c>
      <c r="I203" s="6" t="n">
        <f aca="false">E203-$I$2</f>
        <v>-0.0106053053594479</v>
      </c>
      <c r="J203" s="6" t="n">
        <f aca="false">F203-$J$2</f>
        <v>0.00191623885859744</v>
      </c>
      <c r="K203" s="6" t="n">
        <f aca="false">G203-$K$2</f>
        <v>-0.00592785545173119</v>
      </c>
      <c r="L203" s="6" t="n">
        <f aca="false">H203-$L$2</f>
        <v>0.00292677945929048</v>
      </c>
      <c r="S203" s="9" t="n">
        <v>0.57</v>
      </c>
      <c r="T203" s="9" t="n">
        <v>0.07</v>
      </c>
      <c r="U203" s="9" t="n">
        <v>0.44</v>
      </c>
      <c r="V203" s="9" t="n">
        <v>0.15</v>
      </c>
      <c r="W203" s="22" t="n">
        <f aca="false">SUM(S203:V203)</f>
        <v>1.23</v>
      </c>
      <c r="X203" s="23" t="n">
        <f aca="false">S203/$W203</f>
        <v>0.463414634146341</v>
      </c>
      <c r="Y203" s="23" t="n">
        <f aca="false">T203/$W203</f>
        <v>0.0569105691056911</v>
      </c>
      <c r="Z203" s="23" t="n">
        <f aca="false">U203/$W203</f>
        <v>0.357723577235772</v>
      </c>
      <c r="AA203" s="23" t="n">
        <f aca="false">V203/$W203</f>
        <v>0.121951219512195</v>
      </c>
      <c r="AB203" s="23" t="n">
        <f aca="false">SUM(X203:AA203)</f>
        <v>1</v>
      </c>
      <c r="AC203" s="6" t="n">
        <f aca="false" t="array" ref="AC203:AC203">MMULT(MMULT(X203:AA203,$N$2:$Q$5),TRANSPOSE(X203:AA203))</f>
        <v>0.000344250480319809</v>
      </c>
      <c r="AD203" s="6" t="n">
        <f aca="false">SUMPRODUCT(X203:AA203,$E$237:$H$237)</f>
        <v>0.000207718968647551</v>
      </c>
      <c r="AE203" s="24" t="n">
        <f aca="false">(AD203-$I$2)/SQRT(AC203)</f>
        <v>-0.0110712921504488</v>
      </c>
      <c r="AF203" s="6" t="n">
        <f aca="false">AD203</f>
        <v>0.000207718968647551</v>
      </c>
      <c r="AG203" s="6" t="n">
        <f aca="false">AC203</f>
        <v>0.000344250480319809</v>
      </c>
      <c r="AH203" s="23" t="n">
        <f aca="false">X203</f>
        <v>0.463414634146341</v>
      </c>
      <c r="AI203" s="23" t="n">
        <f aca="false">Y203</f>
        <v>0.0569105691056911</v>
      </c>
      <c r="AJ203" s="23" t="n">
        <f aca="false">Z203</f>
        <v>0.357723577235772</v>
      </c>
      <c r="AK203" s="23" t="n">
        <f aca="false">AA203</f>
        <v>0.121951219512195</v>
      </c>
    </row>
    <row r="204" customFormat="false" ht="15" hidden="false" customHeight="true" outlineLevel="0" collapsed="false">
      <c r="A204" s="22" t="n">
        <f aca="false">aci!H205</f>
        <v>128.1</v>
      </c>
      <c r="B204" s="22" t="n">
        <f aca="false">apexfoot!H205</f>
        <v>215.6</v>
      </c>
      <c r="C204" s="22" t="n">
        <f aca="false">bxpharma!H205</f>
        <v>109.4</v>
      </c>
      <c r="D204" s="22" t="n">
        <f aca="false">batbc!H205</f>
        <v>322.9</v>
      </c>
      <c r="E204" s="6" t="n">
        <f aca="false">LN(A203/A204)</f>
        <v>0.000780335583881105</v>
      </c>
      <c r="F204" s="6" t="n">
        <f aca="false">LN(B203/B204)</f>
        <v>-0.00558140983819515</v>
      </c>
      <c r="G204" s="6" t="n">
        <f aca="false">LN(C203/C204)</f>
        <v>-0.00274599714885585</v>
      </c>
      <c r="H204" s="6" t="n">
        <f aca="false">LN(D203/D204)</f>
        <v>0.0181069854177954</v>
      </c>
      <c r="I204" s="6" t="n">
        <f aca="false">E204-$I$2</f>
        <v>0.000367199990660766</v>
      </c>
      <c r="J204" s="6" t="n">
        <f aca="false">F204-$J$2</f>
        <v>-0.00599454543141549</v>
      </c>
      <c r="K204" s="6" t="n">
        <f aca="false">G204-$K$2</f>
        <v>-0.00315913274207619</v>
      </c>
      <c r="L204" s="6" t="n">
        <f aca="false">H204-$L$2</f>
        <v>0.017693849824575</v>
      </c>
      <c r="S204" s="9" t="n">
        <v>0.14</v>
      </c>
      <c r="T204" s="9" t="n">
        <v>0.64</v>
      </c>
      <c r="U204" s="9" t="n">
        <v>0.93</v>
      </c>
      <c r="V204" s="9" t="n">
        <v>0.77</v>
      </c>
      <c r="W204" s="22" t="n">
        <f aca="false">SUM(S204:V204)</f>
        <v>2.48</v>
      </c>
      <c r="X204" s="23" t="n">
        <f aca="false">S204/$W204</f>
        <v>0.0564516129032258</v>
      </c>
      <c r="Y204" s="23" t="n">
        <f aca="false">T204/$W204</f>
        <v>0.258064516129032</v>
      </c>
      <c r="Z204" s="23" t="n">
        <f aca="false">U204/$W204</f>
        <v>0.375</v>
      </c>
      <c r="AA204" s="23" t="n">
        <f aca="false">V204/$W204</f>
        <v>0.310483870967742</v>
      </c>
      <c r="AB204" s="23" t="n">
        <f aca="false">SUM(X204:AA204)</f>
        <v>1</v>
      </c>
      <c r="AC204" s="6" t="n">
        <f aca="false" t="array" ref="AC204:AC204">MMULT(MMULT(X204:AA204,$N$2:$Q$5),TRANSPOSE(X204:AA204))</f>
        <v>0.00020936067984923</v>
      </c>
      <c r="AD204" s="6" t="n">
        <f aca="false">SUMPRODUCT(X204:AA204,$E$237:$H$237)</f>
        <v>-0.00056236731486737</v>
      </c>
      <c r="AE204" s="24" t="n">
        <f aca="false">(AD204-$I$2)/SQRT(AC204)</f>
        <v>-0.0674187984941369</v>
      </c>
      <c r="AF204" s="6" t="n">
        <f aca="false">AD204</f>
        <v>-0.00056236731486737</v>
      </c>
      <c r="AG204" s="6" t="n">
        <f aca="false">AC204</f>
        <v>0.00020936067984923</v>
      </c>
      <c r="AH204" s="23" t="n">
        <f aca="false">X204</f>
        <v>0.0564516129032258</v>
      </c>
      <c r="AI204" s="23" t="n">
        <f aca="false">Y204</f>
        <v>0.258064516129032</v>
      </c>
      <c r="AJ204" s="23" t="n">
        <f aca="false">Z204</f>
        <v>0.375</v>
      </c>
      <c r="AK204" s="23" t="n">
        <f aca="false">AA204</f>
        <v>0.310483870967742</v>
      </c>
    </row>
    <row r="205" customFormat="false" ht="15" hidden="false" customHeight="true" outlineLevel="0" collapsed="false">
      <c r="A205" s="22" t="n">
        <f aca="false">aci!H206</f>
        <v>132</v>
      </c>
      <c r="B205" s="22" t="n">
        <f aca="false">apexfoot!H206</f>
        <v>219.3</v>
      </c>
      <c r="C205" s="22" t="n">
        <f aca="false">bxpharma!H206</f>
        <v>112.7</v>
      </c>
      <c r="D205" s="22" t="n">
        <f aca="false">batbc!H206</f>
        <v>328.7</v>
      </c>
      <c r="E205" s="6" t="n">
        <f aca="false">LN(A204/A205)</f>
        <v>-0.0299907136836823</v>
      </c>
      <c r="F205" s="6" t="n">
        <f aca="false">LN(B204/B205)</f>
        <v>-0.0170158163890005</v>
      </c>
      <c r="G205" s="6" t="n">
        <f aca="false">LN(C204/C205)</f>
        <v>-0.0297185310578497</v>
      </c>
      <c r="H205" s="6" t="n">
        <f aca="false">LN(D204/D205)</f>
        <v>-0.0178028029059442</v>
      </c>
      <c r="I205" s="6" t="n">
        <f aca="false">E205-$I$2</f>
        <v>-0.0304038492769026</v>
      </c>
      <c r="J205" s="6" t="n">
        <f aca="false">F205-$J$2</f>
        <v>-0.0174289519822208</v>
      </c>
      <c r="K205" s="6" t="n">
        <f aca="false">G205-$K$2</f>
        <v>-0.0301316666510701</v>
      </c>
      <c r="L205" s="6" t="n">
        <f aca="false">H205-$L$2</f>
        <v>-0.0182159384991645</v>
      </c>
      <c r="S205" s="9" t="n">
        <v>0.31</v>
      </c>
      <c r="T205" s="9" t="n">
        <v>0.76</v>
      </c>
      <c r="U205" s="9" t="n">
        <v>0.61</v>
      </c>
      <c r="V205" s="9" t="n">
        <v>0.14</v>
      </c>
      <c r="W205" s="22" t="n">
        <f aca="false">SUM(S205:V205)</f>
        <v>1.82</v>
      </c>
      <c r="X205" s="23" t="n">
        <f aca="false">S205/$W205</f>
        <v>0.17032967032967</v>
      </c>
      <c r="Y205" s="23" t="n">
        <f aca="false">T205/$W205</f>
        <v>0.417582417582418</v>
      </c>
      <c r="Z205" s="23" t="n">
        <f aca="false">U205/$W205</f>
        <v>0.335164835164835</v>
      </c>
      <c r="AA205" s="23" t="n">
        <f aca="false">V205/$W205</f>
        <v>0.0769230769230769</v>
      </c>
      <c r="AB205" s="23" t="n">
        <f aca="false">SUM(X205:AA205)</f>
        <v>1</v>
      </c>
      <c r="AC205" s="6" t="n">
        <f aca="false" t="array" ref="AC205:AC205">MMULT(MMULT(X205:AA205,$N$2:$Q$5),TRANSPOSE(X205:AA205))</f>
        <v>0.000222398949754347</v>
      </c>
      <c r="AD205" s="6" t="n">
        <f aca="false">SUMPRODUCT(X205:AA205,$E$237:$H$237)</f>
        <v>-0.000292905294689586</v>
      </c>
      <c r="AE205" s="24" t="n">
        <f aca="false">(AD205-$I$2)/SQRT(AC205)</f>
        <v>-0.0473438406889444</v>
      </c>
      <c r="AF205" s="6" t="n">
        <f aca="false">AD205</f>
        <v>-0.000292905294689586</v>
      </c>
      <c r="AG205" s="6" t="n">
        <f aca="false">AC205</f>
        <v>0.000222398949754347</v>
      </c>
      <c r="AH205" s="23" t="n">
        <f aca="false">X205</f>
        <v>0.17032967032967</v>
      </c>
      <c r="AI205" s="23" t="n">
        <f aca="false">Y205</f>
        <v>0.417582417582418</v>
      </c>
      <c r="AJ205" s="23" t="n">
        <f aca="false">Z205</f>
        <v>0.335164835164835</v>
      </c>
      <c r="AK205" s="23" t="n">
        <f aca="false">AA205</f>
        <v>0.0769230769230769</v>
      </c>
    </row>
    <row r="206" customFormat="false" ht="15" hidden="false" customHeight="true" outlineLevel="0" collapsed="false">
      <c r="A206" s="22" t="n">
        <f aca="false">aci!H207</f>
        <v>131.9</v>
      </c>
      <c r="B206" s="22" t="n">
        <f aca="false">apexfoot!H207</f>
        <v>219.9</v>
      </c>
      <c r="C206" s="22" t="n">
        <f aca="false">bxpharma!H207</f>
        <v>111.3</v>
      </c>
      <c r="D206" s="22" t="n">
        <f aca="false">batbc!H207</f>
        <v>321.7</v>
      </c>
      <c r="E206" s="6" t="n">
        <f aca="false">LN(A205/A206)</f>
        <v>0.000757862863101801</v>
      </c>
      <c r="F206" s="6" t="n">
        <f aca="false">LN(B205/B206)</f>
        <v>-0.00273224213687295</v>
      </c>
      <c r="G206" s="6" t="n">
        <f aca="false">LN(C205/C206)</f>
        <v>0.0125001627642315</v>
      </c>
      <c r="H206" s="6" t="n">
        <f aca="false">LN(D205/D206)</f>
        <v>0.021526046425193</v>
      </c>
      <c r="I206" s="6" t="n">
        <f aca="false">E206-$I$2</f>
        <v>0.000344727269881462</v>
      </c>
      <c r="J206" s="6" t="n">
        <f aca="false">F206-$J$2</f>
        <v>-0.00314537773009329</v>
      </c>
      <c r="K206" s="6" t="n">
        <f aca="false">G206-$K$2</f>
        <v>0.0120870271710111</v>
      </c>
      <c r="L206" s="6" t="n">
        <f aca="false">H206-$L$2</f>
        <v>0.0211129108319727</v>
      </c>
      <c r="S206" s="9" t="n">
        <v>0.63</v>
      </c>
      <c r="T206" s="9" t="n">
        <v>0.81</v>
      </c>
      <c r="U206" s="9" t="n">
        <v>0.16</v>
      </c>
      <c r="V206" s="9" t="n">
        <v>0.01</v>
      </c>
      <c r="W206" s="22" t="n">
        <f aca="false">SUM(S206:V206)</f>
        <v>1.61</v>
      </c>
      <c r="X206" s="23" t="n">
        <f aca="false">S206/$W206</f>
        <v>0.391304347826087</v>
      </c>
      <c r="Y206" s="23" t="n">
        <f aca="false">T206/$W206</f>
        <v>0.503105590062112</v>
      </c>
      <c r="Z206" s="23" t="n">
        <f aca="false">U206/$W206</f>
        <v>0.0993788819875776</v>
      </c>
      <c r="AA206" s="23" t="n">
        <f aca="false">V206/$W206</f>
        <v>0.0062111801242236</v>
      </c>
      <c r="AB206" s="23" t="n">
        <f aca="false">SUM(X206:AA206)</f>
        <v>1</v>
      </c>
      <c r="AC206" s="6" t="n">
        <f aca="false" t="array" ref="AC206:AC206">MMULT(MMULT(X206:AA206,$N$2:$Q$5),TRANSPOSE(X206:AA206))</f>
        <v>0.000276359581843003</v>
      </c>
      <c r="AD206" s="6" t="n">
        <f aca="false">SUMPRODUCT(X206:AA206,$E$237:$H$237)</f>
        <v>5.9779681605206E-005</v>
      </c>
      <c r="AE206" s="24" t="n">
        <f aca="false">(AD206-$I$2)/SQRT(AC206)</f>
        <v>-0.0212556846370735</v>
      </c>
      <c r="AF206" s="6" t="n">
        <f aca="false">AD206</f>
        <v>5.9779681605206E-005</v>
      </c>
      <c r="AG206" s="6" t="n">
        <f aca="false">AC206</f>
        <v>0.000276359581843003</v>
      </c>
      <c r="AH206" s="23" t="n">
        <f aca="false">X206</f>
        <v>0.391304347826087</v>
      </c>
      <c r="AI206" s="23" t="n">
        <f aca="false">Y206</f>
        <v>0.503105590062112</v>
      </c>
      <c r="AJ206" s="23" t="n">
        <f aca="false">Z206</f>
        <v>0.0993788819875776</v>
      </c>
      <c r="AK206" s="23" t="n">
        <f aca="false">AA206</f>
        <v>0.0062111801242236</v>
      </c>
    </row>
    <row r="207" customFormat="false" ht="15" hidden="false" customHeight="true" outlineLevel="0" collapsed="false">
      <c r="A207" s="22" t="n">
        <f aca="false">aci!H208</f>
        <v>131.6</v>
      </c>
      <c r="B207" s="22" t="n">
        <f aca="false">apexfoot!H208</f>
        <v>219.3</v>
      </c>
      <c r="C207" s="22" t="n">
        <f aca="false">bxpharma!H208</f>
        <v>106.9</v>
      </c>
      <c r="D207" s="22" t="n">
        <f aca="false">batbc!H208</f>
        <v>315.9</v>
      </c>
      <c r="E207" s="6" t="n">
        <f aca="false">LN(A206/A207)</f>
        <v>0.00227704083205215</v>
      </c>
      <c r="F207" s="6" t="n">
        <f aca="false">LN(B206/B207)</f>
        <v>0.00273224213687307</v>
      </c>
      <c r="G207" s="6" t="n">
        <f aca="false">LN(C206/C207)</f>
        <v>0.0403354402504996</v>
      </c>
      <c r="H207" s="6" t="n">
        <f aca="false">LN(D206/D207)</f>
        <v>0.0181937264369411</v>
      </c>
      <c r="I207" s="6" t="n">
        <f aca="false">E207-$I$2</f>
        <v>0.00186390523883181</v>
      </c>
      <c r="J207" s="6" t="n">
        <f aca="false">F207-$J$2</f>
        <v>0.00231910654365273</v>
      </c>
      <c r="K207" s="6" t="n">
        <f aca="false">G207-$K$2</f>
        <v>0.0399223046572792</v>
      </c>
      <c r="L207" s="6" t="n">
        <f aca="false">H207-$L$2</f>
        <v>0.0177805908437208</v>
      </c>
      <c r="S207" s="9" t="n">
        <v>0.65</v>
      </c>
      <c r="T207" s="9" t="n">
        <v>0.9</v>
      </c>
      <c r="U207" s="9" t="n">
        <v>0.69</v>
      </c>
      <c r="V207" s="9" t="n">
        <v>0.66</v>
      </c>
      <c r="W207" s="22" t="n">
        <f aca="false">SUM(S207:V207)</f>
        <v>2.9</v>
      </c>
      <c r="X207" s="23" t="n">
        <f aca="false">S207/$W207</f>
        <v>0.224137931034483</v>
      </c>
      <c r="Y207" s="23" t="n">
        <f aca="false">T207/$W207</f>
        <v>0.310344827586207</v>
      </c>
      <c r="Z207" s="23" t="n">
        <f aca="false">U207/$W207</f>
        <v>0.237931034482759</v>
      </c>
      <c r="AA207" s="23" t="n">
        <f aca="false">V207/$W207</f>
        <v>0.227586206896552</v>
      </c>
      <c r="AB207" s="23" t="n">
        <f aca="false">SUM(X207:AA207)</f>
        <v>1</v>
      </c>
      <c r="AC207" s="6" t="n">
        <f aca="false" t="array" ref="AC207:AC207">MMULT(MMULT(X207:AA207,$N$2:$Q$5),TRANSPOSE(X207:AA207))</f>
        <v>0.000220648497058611</v>
      </c>
      <c r="AD207" s="6" t="n">
        <f aca="false">SUMPRODUCT(X207:AA207,$E$237:$H$237)</f>
        <v>-0.000274559567571152</v>
      </c>
      <c r="AE207" s="24" t="n">
        <f aca="false">(AD207-$I$2)/SQRT(AC207)</f>
        <v>-0.0462962144942719</v>
      </c>
      <c r="AF207" s="6" t="n">
        <f aca="false">AD207</f>
        <v>-0.000274559567571152</v>
      </c>
      <c r="AG207" s="6" t="n">
        <f aca="false">AC207</f>
        <v>0.000220648497058611</v>
      </c>
      <c r="AH207" s="23" t="n">
        <f aca="false">X207</f>
        <v>0.224137931034483</v>
      </c>
      <c r="AI207" s="23" t="n">
        <f aca="false">Y207</f>
        <v>0.310344827586207</v>
      </c>
      <c r="AJ207" s="23" t="n">
        <f aca="false">Z207</f>
        <v>0.237931034482759</v>
      </c>
      <c r="AK207" s="23" t="n">
        <f aca="false">AA207</f>
        <v>0.227586206896552</v>
      </c>
    </row>
    <row r="208" customFormat="false" ht="15" hidden="false" customHeight="true" outlineLevel="0" collapsed="false">
      <c r="A208" s="22" t="n">
        <f aca="false">aci!H209</f>
        <v>135.6</v>
      </c>
      <c r="B208" s="22" t="n">
        <f aca="false">apexfoot!H209</f>
        <v>214.5</v>
      </c>
      <c r="C208" s="22" t="n">
        <f aca="false">bxpharma!H209</f>
        <v>109.3</v>
      </c>
      <c r="D208" s="22" t="n">
        <f aca="false">batbc!H209</f>
        <v>325.1</v>
      </c>
      <c r="E208" s="6" t="n">
        <f aca="false">LN(A207/A208)</f>
        <v>-0.0299423566150783</v>
      </c>
      <c r="F208" s="6" t="n">
        <f aca="false">LN(B207/B208)</f>
        <v>0.0221309170557709</v>
      </c>
      <c r="G208" s="6" t="n">
        <f aca="false">LN(C207/C208)</f>
        <v>-0.0222025771514932</v>
      </c>
      <c r="H208" s="6" t="n">
        <f aca="false">LN(D207/D208)</f>
        <v>-0.0287071195018203</v>
      </c>
      <c r="I208" s="6" t="n">
        <f aca="false">E208-$I$2</f>
        <v>-0.0303554922082987</v>
      </c>
      <c r="J208" s="6" t="n">
        <f aca="false">F208-$J$2</f>
        <v>0.0217177814625506</v>
      </c>
      <c r="K208" s="6" t="n">
        <f aca="false">G208-$K$2</f>
        <v>-0.0226157127447135</v>
      </c>
      <c r="L208" s="6" t="n">
        <f aca="false">H208-$L$2</f>
        <v>-0.0291202550950406</v>
      </c>
      <c r="S208" s="9" t="n">
        <v>0.25</v>
      </c>
      <c r="T208" s="9" t="n">
        <v>0.15</v>
      </c>
      <c r="U208" s="9" t="n">
        <v>0.75</v>
      </c>
      <c r="V208" s="9" t="n">
        <v>0.41</v>
      </c>
      <c r="W208" s="22" t="n">
        <f aca="false">SUM(S208:V208)</f>
        <v>1.56</v>
      </c>
      <c r="X208" s="23" t="n">
        <f aca="false">S208/$W208</f>
        <v>0.16025641025641</v>
      </c>
      <c r="Y208" s="23" t="n">
        <f aca="false">T208/$W208</f>
        <v>0.0961538461538462</v>
      </c>
      <c r="Z208" s="23" t="n">
        <f aca="false">U208/$W208</f>
        <v>0.480769230769231</v>
      </c>
      <c r="AA208" s="23" t="n">
        <f aca="false">V208/$W208</f>
        <v>0.262820512820513</v>
      </c>
      <c r="AB208" s="23" t="n">
        <f aca="false">SUM(X208:AA208)</f>
        <v>1</v>
      </c>
      <c r="AC208" s="6" t="n">
        <f aca="false" t="array" ref="AC208:AC208">MMULT(MMULT(X208:AA208,$N$2:$Q$5),TRANSPOSE(X208:AA208))</f>
        <v>0.000260892431988699</v>
      </c>
      <c r="AD208" s="6" t="n">
        <f aca="false">SUMPRODUCT(X208:AA208,$E$237:$H$237)</f>
        <v>-0.000339549388371894</v>
      </c>
      <c r="AE208" s="24" t="n">
        <f aca="false">(AD208-$I$2)/SQRT(AC208)</f>
        <v>-0.0465996344616125</v>
      </c>
      <c r="AF208" s="6" t="n">
        <f aca="false">AD208</f>
        <v>-0.000339549388371894</v>
      </c>
      <c r="AG208" s="6" t="n">
        <f aca="false">AC208</f>
        <v>0.000260892431988699</v>
      </c>
      <c r="AH208" s="23" t="n">
        <f aca="false">X208</f>
        <v>0.16025641025641</v>
      </c>
      <c r="AI208" s="23" t="n">
        <f aca="false">Y208</f>
        <v>0.0961538461538462</v>
      </c>
      <c r="AJ208" s="23" t="n">
        <f aca="false">Z208</f>
        <v>0.480769230769231</v>
      </c>
      <c r="AK208" s="23" t="n">
        <f aca="false">AA208</f>
        <v>0.262820512820513</v>
      </c>
    </row>
    <row r="209" customFormat="false" ht="15" hidden="false" customHeight="true" outlineLevel="0" collapsed="false">
      <c r="A209" s="22" t="n">
        <f aca="false">aci!H210</f>
        <v>138.1</v>
      </c>
      <c r="B209" s="22" t="n">
        <f aca="false">apexfoot!H210</f>
        <v>221</v>
      </c>
      <c r="C209" s="22" t="n">
        <f aca="false">bxpharma!H210</f>
        <v>111.7</v>
      </c>
      <c r="D209" s="22" t="n">
        <f aca="false">batbc!H210</f>
        <v>333.7</v>
      </c>
      <c r="E209" s="6" t="n">
        <f aca="false">LN(A208/A209)</f>
        <v>-0.0182686849089512</v>
      </c>
      <c r="F209" s="6" t="n">
        <f aca="false">LN(B208/B209)</f>
        <v>-0.0298529631496812</v>
      </c>
      <c r="G209" s="6" t="n">
        <f aca="false">LN(C208/C209)</f>
        <v>-0.0217203108926622</v>
      </c>
      <c r="H209" s="6" t="n">
        <f aca="false">LN(D208/D209)</f>
        <v>-0.0261095584474686</v>
      </c>
      <c r="I209" s="6" t="n">
        <f aca="false">E209-$I$2</f>
        <v>-0.0186818205021716</v>
      </c>
      <c r="J209" s="6" t="n">
        <f aca="false">F209-$J$2</f>
        <v>-0.0302660987429015</v>
      </c>
      <c r="K209" s="6" t="n">
        <f aca="false">G209-$K$2</f>
        <v>-0.0221334464858825</v>
      </c>
      <c r="L209" s="6" t="n">
        <f aca="false">H209-$L$2</f>
        <v>-0.0265226940406889</v>
      </c>
      <c r="S209" s="9" t="n">
        <v>0.3</v>
      </c>
      <c r="T209" s="9" t="n">
        <v>0.88</v>
      </c>
      <c r="U209" s="9" t="n">
        <v>0.15</v>
      </c>
      <c r="V209" s="9" t="n">
        <v>0.98</v>
      </c>
      <c r="W209" s="22" t="n">
        <f aca="false">SUM(S209:V209)</f>
        <v>2.31</v>
      </c>
      <c r="X209" s="23" t="n">
        <f aca="false">S209/$W209</f>
        <v>0.12987012987013</v>
      </c>
      <c r="Y209" s="23" t="n">
        <f aca="false">T209/$W209</f>
        <v>0.380952380952381</v>
      </c>
      <c r="Z209" s="23" t="n">
        <f aca="false">U209/$W209</f>
        <v>0.0649350649350649</v>
      </c>
      <c r="AA209" s="23" t="n">
        <f aca="false">V209/$W209</f>
        <v>0.424242424242424</v>
      </c>
      <c r="AB209" s="23" t="n">
        <f aca="false">SUM(X209:AA209)</f>
        <v>1</v>
      </c>
      <c r="AC209" s="6" t="n">
        <f aca="false" t="array" ref="AC209:AC209">MMULT(MMULT(X209:AA209,$N$2:$Q$5),TRANSPOSE(X209:AA209))</f>
        <v>0.000220286007673436</v>
      </c>
      <c r="AD209" s="6" t="n">
        <f aca="false">SUMPRODUCT(X209:AA209,$E$237:$H$237)</f>
        <v>-0.000548375005015432</v>
      </c>
      <c r="AE209" s="24" t="n">
        <f aca="false">(AD209-$I$2)/SQRT(AC209)</f>
        <v>-0.0647829349484844</v>
      </c>
      <c r="AF209" s="6" t="n">
        <f aca="false">AD209</f>
        <v>-0.000548375005015432</v>
      </c>
      <c r="AG209" s="6" t="n">
        <f aca="false">AC209</f>
        <v>0.000220286007673436</v>
      </c>
      <c r="AH209" s="23" t="n">
        <f aca="false">X209</f>
        <v>0.12987012987013</v>
      </c>
      <c r="AI209" s="23" t="n">
        <f aca="false">Y209</f>
        <v>0.380952380952381</v>
      </c>
      <c r="AJ209" s="23" t="n">
        <f aca="false">Z209</f>
        <v>0.0649350649350649</v>
      </c>
      <c r="AK209" s="23" t="n">
        <f aca="false">AA209</f>
        <v>0.424242424242424</v>
      </c>
    </row>
    <row r="210" customFormat="false" ht="15" hidden="false" customHeight="true" outlineLevel="0" collapsed="false">
      <c r="A210" s="22" t="n">
        <f aca="false">aci!H211</f>
        <v>138.7</v>
      </c>
      <c r="B210" s="22" t="n">
        <f aca="false">apexfoot!H211</f>
        <v>220.8</v>
      </c>
      <c r="C210" s="22" t="n">
        <f aca="false">bxpharma!H211</f>
        <v>112.7</v>
      </c>
      <c r="D210" s="22" t="n">
        <f aca="false">batbc!H211</f>
        <v>331.2</v>
      </c>
      <c r="E210" s="6" t="n">
        <f aca="false">LN(A209/A210)</f>
        <v>-0.00433526690553947</v>
      </c>
      <c r="F210" s="6" t="n">
        <f aca="false">LN(B209/B210)</f>
        <v>0.00090538711481252</v>
      </c>
      <c r="G210" s="6" t="n">
        <f aca="false">LN(C209/C210)</f>
        <v>-0.00891271497057564</v>
      </c>
      <c r="H210" s="6" t="n">
        <f aca="false">LN(D209/D210)</f>
        <v>0.00751996324622379</v>
      </c>
      <c r="I210" s="6" t="n">
        <f aca="false">E210-$I$2</f>
        <v>-0.00474840249875981</v>
      </c>
      <c r="J210" s="6" t="n">
        <f aca="false">F210-$J$2</f>
        <v>0.000492251521592181</v>
      </c>
      <c r="K210" s="6" t="n">
        <f aca="false">G210-$K$2</f>
        <v>-0.00932585056379598</v>
      </c>
      <c r="L210" s="6" t="n">
        <f aca="false">H210-$L$2</f>
        <v>0.00710682765300345</v>
      </c>
      <c r="S210" s="9" t="n">
        <v>0.97</v>
      </c>
      <c r="T210" s="9" t="n">
        <v>0.77</v>
      </c>
      <c r="U210" s="9" t="n">
        <v>0.45</v>
      </c>
      <c r="V210" s="9" t="n">
        <v>0.97</v>
      </c>
      <c r="W210" s="22" t="n">
        <f aca="false">SUM(S210:V210)</f>
        <v>3.16</v>
      </c>
      <c r="X210" s="23" t="n">
        <f aca="false">S210/$W210</f>
        <v>0.306962025316456</v>
      </c>
      <c r="Y210" s="23" t="n">
        <f aca="false">T210/$W210</f>
        <v>0.243670886075949</v>
      </c>
      <c r="Z210" s="23" t="n">
        <f aca="false">U210/$W210</f>
        <v>0.142405063291139</v>
      </c>
      <c r="AA210" s="23" t="n">
        <f aca="false">V210/$W210</f>
        <v>0.306962025316456</v>
      </c>
      <c r="AB210" s="23" t="n">
        <f aca="false">SUM(X210:AA210)</f>
        <v>1</v>
      </c>
      <c r="AC210" s="6" t="n">
        <f aca="false" t="array" ref="AC210:AC210">MMULT(MMULT(X210:AA210,$N$2:$Q$5),TRANSPOSE(X210:AA210))</f>
        <v>0.000249824484648018</v>
      </c>
      <c r="AD210" s="6" t="n">
        <f aca="false">SUMPRODUCT(X210:AA210,$E$237:$H$237)</f>
        <v>-0.000180634851559086</v>
      </c>
      <c r="AE210" s="24" t="n">
        <f aca="false">(AD210-$I$2)/SQRT(AC210)</f>
        <v>-0.0375665295765418</v>
      </c>
      <c r="AF210" s="6" t="n">
        <f aca="false">AD210</f>
        <v>-0.000180634851559086</v>
      </c>
      <c r="AG210" s="6" t="n">
        <f aca="false">AC210</f>
        <v>0.000249824484648018</v>
      </c>
      <c r="AH210" s="23" t="n">
        <f aca="false">X210</f>
        <v>0.306962025316456</v>
      </c>
      <c r="AI210" s="23" t="n">
        <f aca="false">Y210</f>
        <v>0.243670886075949</v>
      </c>
      <c r="AJ210" s="23" t="n">
        <f aca="false">Z210</f>
        <v>0.142405063291139</v>
      </c>
      <c r="AK210" s="23" t="n">
        <f aca="false">AA210</f>
        <v>0.306962025316456</v>
      </c>
    </row>
    <row r="211" customFormat="false" ht="15" hidden="false" customHeight="true" outlineLevel="0" collapsed="false">
      <c r="A211" s="22" t="n">
        <f aca="false">aci!H212</f>
        <v>138.5</v>
      </c>
      <c r="B211" s="22" t="n">
        <f aca="false">apexfoot!H212</f>
        <v>223.5</v>
      </c>
      <c r="C211" s="22" t="n">
        <f aca="false">bxpharma!H212</f>
        <v>115.4</v>
      </c>
      <c r="D211" s="22" t="n">
        <f aca="false">batbc!H212</f>
        <v>341.4</v>
      </c>
      <c r="E211" s="6" t="n">
        <f aca="false">LN(A210/A211)</f>
        <v>0.00144300169339274</v>
      </c>
      <c r="F211" s="6" t="n">
        <f aca="false">LN(B210/B211)</f>
        <v>-0.0121540996506832</v>
      </c>
      <c r="G211" s="6" t="n">
        <f aca="false">LN(C210/C211)</f>
        <v>-0.0236749330282686</v>
      </c>
      <c r="H211" s="6" t="n">
        <f aca="false">LN(D210/D211)</f>
        <v>-0.0303323878492356</v>
      </c>
      <c r="I211" s="6" t="n">
        <f aca="false">E211-$I$2</f>
        <v>0.0010298661001724</v>
      </c>
      <c r="J211" s="6" t="n">
        <f aca="false">F211-$J$2</f>
        <v>-0.0125672352439035</v>
      </c>
      <c r="K211" s="6" t="n">
        <f aca="false">G211-$K$2</f>
        <v>-0.0240880686214889</v>
      </c>
      <c r="L211" s="6" t="n">
        <f aca="false">H211-$L$2</f>
        <v>-0.030745523442456</v>
      </c>
      <c r="S211" s="9" t="n">
        <v>0.39</v>
      </c>
      <c r="T211" s="9" t="n">
        <v>0.18</v>
      </c>
      <c r="U211" s="9" t="n">
        <v>0.87</v>
      </c>
      <c r="V211" s="9" t="n">
        <v>0.7</v>
      </c>
      <c r="W211" s="22" t="n">
        <f aca="false">SUM(S211:V211)</f>
        <v>2.14</v>
      </c>
      <c r="X211" s="23" t="n">
        <f aca="false">S211/$W211</f>
        <v>0.182242990654206</v>
      </c>
      <c r="Y211" s="23" t="n">
        <f aca="false">T211/$W211</f>
        <v>0.0841121495327103</v>
      </c>
      <c r="Z211" s="23" t="n">
        <f aca="false">U211/$W211</f>
        <v>0.406542056074766</v>
      </c>
      <c r="AA211" s="23" t="n">
        <f aca="false">V211/$W211</f>
        <v>0.327102803738318</v>
      </c>
      <c r="AB211" s="23" t="n">
        <f aca="false">SUM(X211:AA211)</f>
        <v>1</v>
      </c>
      <c r="AC211" s="6" t="n">
        <f aca="false" t="array" ref="AC211:AC211">MMULT(MMULT(X211:AA211,$N$2:$Q$5),TRANSPOSE(X211:AA211))</f>
        <v>0.000249355198612994</v>
      </c>
      <c r="AD211" s="6" t="n">
        <f aca="false">SUMPRODUCT(X211:AA211,$E$237:$H$237)</f>
        <v>-0.000341300928696573</v>
      </c>
      <c r="AE211" s="24" t="n">
        <f aca="false">(AD211-$I$2)/SQRT(AC211)</f>
        <v>-0.0477764075523695</v>
      </c>
      <c r="AF211" s="6" t="n">
        <f aca="false">AD211</f>
        <v>-0.000341300928696573</v>
      </c>
      <c r="AG211" s="6" t="n">
        <f aca="false">AC211</f>
        <v>0.000249355198612994</v>
      </c>
      <c r="AH211" s="23" t="n">
        <f aca="false">X211</f>
        <v>0.182242990654206</v>
      </c>
      <c r="AI211" s="23" t="n">
        <f aca="false">Y211</f>
        <v>0.0841121495327103</v>
      </c>
      <c r="AJ211" s="23" t="n">
        <f aca="false">Z211</f>
        <v>0.406542056074766</v>
      </c>
      <c r="AK211" s="23" t="n">
        <f aca="false">AA211</f>
        <v>0.327102803738318</v>
      </c>
    </row>
    <row r="212" customFormat="false" ht="15" hidden="false" customHeight="true" outlineLevel="0" collapsed="false">
      <c r="A212" s="22" t="n">
        <f aca="false">aci!H213</f>
        <v>142</v>
      </c>
      <c r="B212" s="22" t="n">
        <f aca="false">apexfoot!H213</f>
        <v>230.3</v>
      </c>
      <c r="C212" s="22" t="n">
        <f aca="false">bxpharma!H213</f>
        <v>118.9</v>
      </c>
      <c r="D212" s="22" t="n">
        <f aca="false">batbc!H213</f>
        <v>351.9</v>
      </c>
      <c r="E212" s="6" t="n">
        <f aca="false">LN(A211/A212)</f>
        <v>-0.0249567319738675</v>
      </c>
      <c r="F212" s="6" t="n">
        <f aca="false">LN(B211/B212)</f>
        <v>-0.029971392773016</v>
      </c>
      <c r="G212" s="6" t="n">
        <f aca="false">LN(C211/C212)</f>
        <v>-0.029878449622737</v>
      </c>
      <c r="H212" s="6" t="n">
        <f aca="false">LN(D211/D212)</f>
        <v>-0.0302922339671992</v>
      </c>
      <c r="I212" s="6" t="n">
        <f aca="false">E212-$I$2</f>
        <v>-0.0253698675670878</v>
      </c>
      <c r="J212" s="6" t="n">
        <f aca="false">F212-$J$2</f>
        <v>-0.0303845283662364</v>
      </c>
      <c r="K212" s="6" t="n">
        <f aca="false">G212-$K$2</f>
        <v>-0.0302915852159573</v>
      </c>
      <c r="L212" s="6" t="n">
        <f aca="false">H212-$L$2</f>
        <v>-0.0307053695604196</v>
      </c>
      <c r="S212" s="9" t="n">
        <v>0.1</v>
      </c>
      <c r="T212" s="9" t="n">
        <v>0.1</v>
      </c>
      <c r="U212" s="9" t="n">
        <v>0.71</v>
      </c>
      <c r="V212" s="9" t="n">
        <v>0.15</v>
      </c>
      <c r="W212" s="22" t="n">
        <f aca="false">SUM(S212:V212)</f>
        <v>1.06</v>
      </c>
      <c r="X212" s="23" t="n">
        <f aca="false">S212/$W212</f>
        <v>0.0943396226415095</v>
      </c>
      <c r="Y212" s="23" t="n">
        <f aca="false">T212/$W212</f>
        <v>0.0943396226415095</v>
      </c>
      <c r="Z212" s="23" t="n">
        <f aca="false">U212/$W212</f>
        <v>0.669811320754717</v>
      </c>
      <c r="AA212" s="23" t="n">
        <f aca="false">V212/$W212</f>
        <v>0.141509433962264</v>
      </c>
      <c r="AB212" s="23" t="n">
        <f aca="false">SUM(X212:AA212)</f>
        <v>1</v>
      </c>
      <c r="AC212" s="6" t="n">
        <f aca="false" t="array" ref="AC212:AC212">MMULT(MMULT(X212:AA212,$N$2:$Q$5),TRANSPOSE(X212:AA212))</f>
        <v>0.000326960741062516</v>
      </c>
      <c r="AD212" s="6" t="n">
        <f aca="false">SUMPRODUCT(X212:AA212,$E$237:$H$237)</f>
        <v>-0.000367012719163783</v>
      </c>
      <c r="AE212" s="24" t="n">
        <f aca="false">(AD212-$I$2)/SQRT(AC212)</f>
        <v>-0.0431448902755883</v>
      </c>
      <c r="AF212" s="6" t="n">
        <f aca="false">AD212</f>
        <v>-0.000367012719163783</v>
      </c>
      <c r="AG212" s="6" t="n">
        <f aca="false">AC212</f>
        <v>0.000326960741062516</v>
      </c>
      <c r="AH212" s="23" t="n">
        <f aca="false">X212</f>
        <v>0.0943396226415095</v>
      </c>
      <c r="AI212" s="23" t="n">
        <f aca="false">Y212</f>
        <v>0.0943396226415095</v>
      </c>
      <c r="AJ212" s="23" t="n">
        <f aca="false">Z212</f>
        <v>0.669811320754717</v>
      </c>
      <c r="AK212" s="23" t="n">
        <f aca="false">AA212</f>
        <v>0.141509433962264</v>
      </c>
    </row>
    <row r="213" customFormat="false" ht="15" hidden="false" customHeight="true" outlineLevel="0" collapsed="false">
      <c r="A213" s="22" t="n">
        <f aca="false">aci!H214</f>
        <v>139.8</v>
      </c>
      <c r="B213" s="22" t="n">
        <f aca="false">apexfoot!H214</f>
        <v>234</v>
      </c>
      <c r="C213" s="22" t="n">
        <f aca="false">bxpharma!H214</f>
        <v>118.1</v>
      </c>
      <c r="D213" s="22" t="n">
        <f aca="false">batbc!H214</f>
        <v>353.8</v>
      </c>
      <c r="E213" s="6" t="n">
        <f aca="false">LN(A212/A213)</f>
        <v>0.0156142278015508</v>
      </c>
      <c r="F213" s="6" t="n">
        <f aca="false">LN(B212/B213)</f>
        <v>-0.0159383085310619</v>
      </c>
      <c r="G213" s="6" t="n">
        <f aca="false">LN(C212/C213)</f>
        <v>0.00675108049341973</v>
      </c>
      <c r="H213" s="6" t="n">
        <f aca="false">LN(D212/D213)</f>
        <v>-0.00538473739814557</v>
      </c>
      <c r="I213" s="6" t="n">
        <f aca="false">E213-$I$2</f>
        <v>0.0152010922083305</v>
      </c>
      <c r="J213" s="6" t="n">
        <f aca="false">F213-$J$2</f>
        <v>-0.0163514441242822</v>
      </c>
      <c r="K213" s="6" t="n">
        <f aca="false">G213-$K$2</f>
        <v>0.00633794490019939</v>
      </c>
      <c r="L213" s="6" t="n">
        <f aca="false">H213-$L$2</f>
        <v>-0.00579787299136591</v>
      </c>
      <c r="S213" s="9" t="n">
        <v>0.59</v>
      </c>
      <c r="T213" s="9" t="n">
        <v>0.06</v>
      </c>
      <c r="U213" s="9" t="n">
        <v>0.82</v>
      </c>
      <c r="V213" s="9" t="n">
        <v>0.47</v>
      </c>
      <c r="W213" s="22" t="n">
        <f aca="false">SUM(S213:V213)</f>
        <v>1.94</v>
      </c>
      <c r="X213" s="23" t="n">
        <f aca="false">S213/$W213</f>
        <v>0.304123711340206</v>
      </c>
      <c r="Y213" s="23" t="n">
        <f aca="false">T213/$W213</f>
        <v>0.0309278350515464</v>
      </c>
      <c r="Z213" s="23" t="n">
        <f aca="false">U213/$W213</f>
        <v>0.422680412371134</v>
      </c>
      <c r="AA213" s="23" t="n">
        <f aca="false">V213/$W213</f>
        <v>0.242268041237113</v>
      </c>
      <c r="AB213" s="23" t="n">
        <f aca="false">SUM(X213:AA213)</f>
        <v>1</v>
      </c>
      <c r="AC213" s="6" t="n">
        <f aca="false" t="array" ref="AC213:AC213">MMULT(MMULT(X213:AA213,$N$2:$Q$5),TRANSPOSE(X213:AA213))</f>
        <v>0.000294700627302911</v>
      </c>
      <c r="AD213" s="6" t="n">
        <f aca="false">SUMPRODUCT(X213:AA213,$E$237:$H$237)</f>
        <v>-9.57432987342925E-005</v>
      </c>
      <c r="AE213" s="24" t="n">
        <f aca="false">(AD213-$I$2)/SQRT(AC213)</f>
        <v>-0.0296431196361041</v>
      </c>
      <c r="AF213" s="6" t="n">
        <f aca="false">AD213</f>
        <v>-9.57432987342925E-005</v>
      </c>
      <c r="AG213" s="6" t="n">
        <f aca="false">AC213</f>
        <v>0.000294700627302911</v>
      </c>
      <c r="AH213" s="23" t="n">
        <f aca="false">X213</f>
        <v>0.304123711340206</v>
      </c>
      <c r="AI213" s="23" t="n">
        <f aca="false">Y213</f>
        <v>0.0309278350515464</v>
      </c>
      <c r="AJ213" s="23" t="n">
        <f aca="false">Z213</f>
        <v>0.422680412371134</v>
      </c>
      <c r="AK213" s="23" t="n">
        <f aca="false">AA213</f>
        <v>0.242268041237113</v>
      </c>
    </row>
    <row r="214" customFormat="false" ht="15" hidden="false" customHeight="true" outlineLevel="0" collapsed="false">
      <c r="A214" s="22" t="n">
        <f aca="false">aci!H215</f>
        <v>141.8</v>
      </c>
      <c r="B214" s="22" t="n">
        <f aca="false">apexfoot!H215</f>
        <v>233.9</v>
      </c>
      <c r="C214" s="22" t="n">
        <f aca="false">bxpharma!H215</f>
        <v>119.3</v>
      </c>
      <c r="D214" s="22" t="n">
        <f aca="false">batbc!H215</f>
        <v>363.3</v>
      </c>
      <c r="E214" s="6" t="n">
        <f aca="false">LN(A213/A214)</f>
        <v>-0.0142047842983172</v>
      </c>
      <c r="F214" s="6" t="n">
        <f aca="false">LN(B213/B214)</f>
        <v>0.000427441767568152</v>
      </c>
      <c r="G214" s="6" t="n">
        <f aca="false">LN(C213/C214)</f>
        <v>-0.0101096059005538</v>
      </c>
      <c r="H214" s="6" t="n">
        <f aca="false">LN(D213/D214)</f>
        <v>-0.0264971575014714</v>
      </c>
      <c r="I214" s="6" t="n">
        <f aca="false">E214-$I$2</f>
        <v>-0.0146179198915376</v>
      </c>
      <c r="J214" s="6" t="n">
        <f aca="false">F214-$J$2</f>
        <v>1.43061743478134E-005</v>
      </c>
      <c r="K214" s="6" t="n">
        <f aca="false">G214-$K$2</f>
        <v>-0.0105227414937742</v>
      </c>
      <c r="L214" s="6" t="n">
        <f aca="false">H214-$L$2</f>
        <v>-0.0269102930946917</v>
      </c>
      <c r="S214" s="9" t="n">
        <v>0.49</v>
      </c>
      <c r="T214" s="9" t="n">
        <v>0.58</v>
      </c>
      <c r="U214" s="9" t="n">
        <v>0.42</v>
      </c>
      <c r="V214" s="9" t="n">
        <v>0.87</v>
      </c>
      <c r="W214" s="22" t="n">
        <f aca="false">SUM(S214:V214)</f>
        <v>2.36</v>
      </c>
      <c r="X214" s="23" t="n">
        <f aca="false">S214/$W214</f>
        <v>0.207627118644068</v>
      </c>
      <c r="Y214" s="23" t="n">
        <f aca="false">T214/$W214</f>
        <v>0.245762711864407</v>
      </c>
      <c r="Z214" s="23" t="n">
        <f aca="false">U214/$W214</f>
        <v>0.177966101694915</v>
      </c>
      <c r="AA214" s="23" t="n">
        <f aca="false">V214/$W214</f>
        <v>0.36864406779661</v>
      </c>
      <c r="AB214" s="23" t="n">
        <f aca="false">SUM(X214:AA214)</f>
        <v>1</v>
      </c>
      <c r="AC214" s="6" t="n">
        <f aca="false" t="array" ref="AC214:AC214">MMULT(MMULT(X214:AA214,$N$2:$Q$5),TRANSPOSE(X214:AA214))</f>
        <v>0.0002234415041729</v>
      </c>
      <c r="AD214" s="6" t="n">
        <f aca="false">SUMPRODUCT(X214:AA214,$E$237:$H$237)</f>
        <v>-0.000366460321302633</v>
      </c>
      <c r="AE214" s="24" t="n">
        <f aca="false">(AD214-$I$2)/SQRT(AC214)</f>
        <v>-0.052154001046386</v>
      </c>
      <c r="AF214" s="6" t="n">
        <f aca="false">AD214</f>
        <v>-0.000366460321302633</v>
      </c>
      <c r="AG214" s="6" t="n">
        <f aca="false">AC214</f>
        <v>0.0002234415041729</v>
      </c>
      <c r="AH214" s="23" t="n">
        <f aca="false">X214</f>
        <v>0.207627118644068</v>
      </c>
      <c r="AI214" s="23" t="n">
        <f aca="false">Y214</f>
        <v>0.245762711864407</v>
      </c>
      <c r="AJ214" s="23" t="n">
        <f aca="false">Z214</f>
        <v>0.177966101694915</v>
      </c>
      <c r="AK214" s="23" t="n">
        <f aca="false">AA214</f>
        <v>0.36864406779661</v>
      </c>
    </row>
    <row r="215" customFormat="false" ht="15" hidden="false" customHeight="true" outlineLevel="0" collapsed="false">
      <c r="A215" s="22" t="n">
        <f aca="false">aci!H216</f>
        <v>145.7</v>
      </c>
      <c r="B215" s="22" t="n">
        <f aca="false">apexfoot!H216</f>
        <v>237.7</v>
      </c>
      <c r="C215" s="22" t="n">
        <f aca="false">bxpharma!H216</f>
        <v>122.4</v>
      </c>
      <c r="D215" s="22" t="n">
        <f aca="false">batbc!H216</f>
        <v>372.9</v>
      </c>
      <c r="E215" s="6" t="n">
        <f aca="false">LN(A214/A215)</f>
        <v>-0.0271320991031319</v>
      </c>
      <c r="F215" s="6" t="n">
        <f aca="false">LN(B214/B215)</f>
        <v>-0.0161157007760149</v>
      </c>
      <c r="G215" s="6" t="n">
        <f aca="false">LN(C214/C215)</f>
        <v>-0.0256530409743553</v>
      </c>
      <c r="H215" s="6" t="n">
        <f aca="false">LN(D214/D215)</f>
        <v>-0.0260813479576188</v>
      </c>
      <c r="I215" s="6" t="n">
        <f aca="false">E215-$I$2</f>
        <v>-0.0275452346963522</v>
      </c>
      <c r="J215" s="6" t="n">
        <f aca="false">F215-$J$2</f>
        <v>-0.0165288363692352</v>
      </c>
      <c r="K215" s="6" t="n">
        <f aca="false">G215-$K$2</f>
        <v>-0.0260661765675756</v>
      </c>
      <c r="L215" s="6" t="n">
        <f aca="false">H215-$L$2</f>
        <v>-0.0264944835508391</v>
      </c>
      <c r="S215" s="9" t="n">
        <v>0.95</v>
      </c>
      <c r="T215" s="9" t="n">
        <v>0.13</v>
      </c>
      <c r="U215" s="9" t="n">
        <v>0.93</v>
      </c>
      <c r="V215" s="9" t="n">
        <v>0.27</v>
      </c>
      <c r="W215" s="22" t="n">
        <f aca="false">SUM(S215:V215)</f>
        <v>2.28</v>
      </c>
      <c r="X215" s="23" t="n">
        <f aca="false">S215/$W215</f>
        <v>0.416666666666667</v>
      </c>
      <c r="Y215" s="23" t="n">
        <f aca="false">T215/$W215</f>
        <v>0.0570175438596491</v>
      </c>
      <c r="Z215" s="23" t="n">
        <f aca="false">U215/$W215</f>
        <v>0.407894736842105</v>
      </c>
      <c r="AA215" s="23" t="n">
        <f aca="false">V215/$W215</f>
        <v>0.118421052631579</v>
      </c>
      <c r="AB215" s="23" t="n">
        <f aca="false">SUM(X215:AA215)</f>
        <v>1</v>
      </c>
      <c r="AC215" s="6" t="n">
        <f aca="false" t="array" ref="AC215:AC215">MMULT(MMULT(X215:AA215,$N$2:$Q$5),TRANSPOSE(X215:AA215))</f>
        <v>0.000333187826878742</v>
      </c>
      <c r="AD215" s="6" t="n">
        <f aca="false">SUMPRODUCT(X215:AA215,$E$237:$H$237)</f>
        <v>0.000139558591990184</v>
      </c>
      <c r="AE215" s="24" t="n">
        <f aca="false">(AD215-$I$2)/SQRT(AC215)</f>
        <v>-0.0149877010467648</v>
      </c>
      <c r="AF215" s="6" t="n">
        <f aca="false">AD215</f>
        <v>0.000139558591990184</v>
      </c>
      <c r="AG215" s="6" t="n">
        <f aca="false">AC215</f>
        <v>0.000333187826878742</v>
      </c>
      <c r="AH215" s="23" t="n">
        <f aca="false">X215</f>
        <v>0.416666666666667</v>
      </c>
      <c r="AI215" s="23" t="n">
        <f aca="false">Y215</f>
        <v>0.0570175438596491</v>
      </c>
      <c r="AJ215" s="23" t="n">
        <f aca="false">Z215</f>
        <v>0.407894736842105</v>
      </c>
      <c r="AK215" s="23" t="n">
        <f aca="false">AA215</f>
        <v>0.118421052631579</v>
      </c>
    </row>
    <row r="216" customFormat="false" ht="15" hidden="false" customHeight="true" outlineLevel="0" collapsed="false">
      <c r="A216" s="22" t="n">
        <f aca="false">aci!H217</f>
        <v>148.1</v>
      </c>
      <c r="B216" s="22" t="n">
        <f aca="false">apexfoot!H217</f>
        <v>239.6</v>
      </c>
      <c r="C216" s="22" t="n">
        <f aca="false">bxpharma!H217</f>
        <v>124.1</v>
      </c>
      <c r="D216" s="22" t="n">
        <f aca="false">batbc!H217</f>
        <v>376.4</v>
      </c>
      <c r="E216" s="6" t="n">
        <f aca="false">LN(A215/A216)</f>
        <v>-0.016338008072594</v>
      </c>
      <c r="F216" s="6" t="n">
        <f aca="false">LN(B215/B216)</f>
        <v>-0.00796149187514612</v>
      </c>
      <c r="G216" s="6" t="n">
        <f aca="false">LN(C215/C216)</f>
        <v>-0.0137933221323358</v>
      </c>
      <c r="H216" s="6" t="n">
        <f aca="false">LN(D215/D216)</f>
        <v>-0.00934212052644942</v>
      </c>
      <c r="I216" s="6" t="n">
        <f aca="false">E216-$I$2</f>
        <v>-0.0167511436658143</v>
      </c>
      <c r="J216" s="6" t="n">
        <f aca="false">F216-$J$2</f>
        <v>-0.00837462746836646</v>
      </c>
      <c r="K216" s="6" t="n">
        <f aca="false">G216-$K$2</f>
        <v>-0.0142064577255561</v>
      </c>
      <c r="L216" s="6" t="n">
        <f aca="false">H216-$L$2</f>
        <v>-0.00975525611966976</v>
      </c>
      <c r="S216" s="9" t="n">
        <v>0.08</v>
      </c>
      <c r="T216" s="9" t="n">
        <v>0.05</v>
      </c>
      <c r="U216" s="9" t="n">
        <v>0.5</v>
      </c>
      <c r="V216" s="9" t="n">
        <v>0.37</v>
      </c>
      <c r="W216" s="22" t="n">
        <f aca="false">SUM(S216:V216)</f>
        <v>1</v>
      </c>
      <c r="X216" s="23" t="n">
        <f aca="false">S216/$W216</f>
        <v>0.08</v>
      </c>
      <c r="Y216" s="23" t="n">
        <f aca="false">T216/$W216</f>
        <v>0.05</v>
      </c>
      <c r="Z216" s="23" t="n">
        <f aca="false">U216/$W216</f>
        <v>0.5</v>
      </c>
      <c r="AA216" s="23" t="n">
        <f aca="false">V216/$W216</f>
        <v>0.37</v>
      </c>
      <c r="AB216" s="23" t="n">
        <f aca="false">SUM(X216:AA216)</f>
        <v>1</v>
      </c>
      <c r="AC216" s="6" t="n">
        <f aca="false" t="array" ref="AC216:AC216">MMULT(MMULT(X216:AA216,$N$2:$Q$5),TRANSPOSE(X216:AA216))</f>
        <v>0.000257956610106645</v>
      </c>
      <c r="AD216" s="6" t="n">
        <f aca="false">SUMPRODUCT(X216:AA216,$E$237:$H$237)</f>
        <v>-0.000511765152732653</v>
      </c>
      <c r="AE216" s="24" t="n">
        <f aca="false">(AD216-$I$2)/SQRT(AC216)</f>
        <v>-0.057586647905504</v>
      </c>
      <c r="AF216" s="6" t="n">
        <f aca="false">AD216</f>
        <v>-0.000511765152732653</v>
      </c>
      <c r="AG216" s="6" t="n">
        <f aca="false">AC216</f>
        <v>0.000257956610106645</v>
      </c>
      <c r="AH216" s="23" t="n">
        <f aca="false">X216</f>
        <v>0.08</v>
      </c>
      <c r="AI216" s="23" t="n">
        <f aca="false">Y216</f>
        <v>0.05</v>
      </c>
      <c r="AJ216" s="23" t="n">
        <f aca="false">Z216</f>
        <v>0.5</v>
      </c>
      <c r="AK216" s="23" t="n">
        <f aca="false">AA216</f>
        <v>0.37</v>
      </c>
    </row>
    <row r="217" customFormat="false" ht="15" hidden="false" customHeight="true" outlineLevel="0" collapsed="false">
      <c r="A217" s="22" t="n">
        <f aca="false">aci!H218</f>
        <v>144.7</v>
      </c>
      <c r="B217" s="22" t="n">
        <f aca="false">apexfoot!H218</f>
        <v>240.1</v>
      </c>
      <c r="C217" s="22" t="n">
        <f aca="false">bxpharma!H218</f>
        <v>121.9</v>
      </c>
      <c r="D217" s="22" t="n">
        <f aca="false">batbc!H218</f>
        <v>375</v>
      </c>
      <c r="E217" s="6" t="n">
        <f aca="false">LN(A216/A217)</f>
        <v>0.023225087636315</v>
      </c>
      <c r="F217" s="6" t="n">
        <f aca="false">LN(B216/B217)</f>
        <v>-0.00208463698591321</v>
      </c>
      <c r="G217" s="6" t="n">
        <f aca="false">LN(C216/C217)</f>
        <v>0.0178866557233357</v>
      </c>
      <c r="H217" s="6" t="n">
        <f aca="false">LN(D216/D217)</f>
        <v>0.00372638174081379</v>
      </c>
      <c r="I217" s="6" t="n">
        <f aca="false">E217-$I$2</f>
        <v>0.0228119520430947</v>
      </c>
      <c r="J217" s="6" t="n">
        <f aca="false">F217-$J$2</f>
        <v>-0.00249777257913355</v>
      </c>
      <c r="K217" s="6" t="n">
        <f aca="false">G217-$K$2</f>
        <v>0.0174735201301153</v>
      </c>
      <c r="L217" s="6" t="n">
        <f aca="false">H217-$L$2</f>
        <v>0.00331324614759345</v>
      </c>
      <c r="S217" s="9" t="n">
        <v>0.4</v>
      </c>
      <c r="T217" s="9" t="n">
        <v>0.17</v>
      </c>
      <c r="U217" s="9" t="n">
        <v>0.29</v>
      </c>
      <c r="V217" s="9" t="n">
        <v>0.15</v>
      </c>
      <c r="W217" s="22" t="n">
        <f aca="false">SUM(S217:V217)</f>
        <v>1.01</v>
      </c>
      <c r="X217" s="23" t="n">
        <f aca="false">S217/$W217</f>
        <v>0.396039603960396</v>
      </c>
      <c r="Y217" s="23" t="n">
        <f aca="false">T217/$W217</f>
        <v>0.168316831683168</v>
      </c>
      <c r="Z217" s="23" t="n">
        <f aca="false">U217/$W217</f>
        <v>0.287128712871287</v>
      </c>
      <c r="AA217" s="23" t="n">
        <f aca="false">V217/$W217</f>
        <v>0.148514851485149</v>
      </c>
      <c r="AB217" s="23" t="n">
        <f aca="false">SUM(X217:AA217)</f>
        <v>1</v>
      </c>
      <c r="AC217" s="6" t="n">
        <f aca="false" t="array" ref="AC217:AC217">MMULT(MMULT(X217:AA217,$N$2:$Q$5),TRANSPOSE(X217:AA217))</f>
        <v>0.000288985816262594</v>
      </c>
      <c r="AD217" s="6" t="n">
        <f aca="false">SUMPRODUCT(X217:AA217,$E$237:$H$237)</f>
        <v>6.41385746105918E-005</v>
      </c>
      <c r="AE217" s="24" t="n">
        <f aca="false">(AD217-$I$2)/SQRT(AC217)</f>
        <v>-0.0205297401812249</v>
      </c>
      <c r="AF217" s="6" t="n">
        <f aca="false">AD217</f>
        <v>6.41385746105918E-005</v>
      </c>
      <c r="AG217" s="6" t="n">
        <f aca="false">AC217</f>
        <v>0.000288985816262594</v>
      </c>
      <c r="AH217" s="23" t="n">
        <f aca="false">X217</f>
        <v>0.396039603960396</v>
      </c>
      <c r="AI217" s="23" t="n">
        <f aca="false">Y217</f>
        <v>0.168316831683168</v>
      </c>
      <c r="AJ217" s="23" t="n">
        <f aca="false">Z217</f>
        <v>0.287128712871287</v>
      </c>
      <c r="AK217" s="23" t="n">
        <f aca="false">AA217</f>
        <v>0.148514851485149</v>
      </c>
    </row>
    <row r="218" customFormat="false" ht="15" hidden="false" customHeight="true" outlineLevel="0" collapsed="false">
      <c r="A218" s="22" t="n">
        <f aca="false">aci!H219</f>
        <v>146.3</v>
      </c>
      <c r="B218" s="22" t="n">
        <f aca="false">apexfoot!H219</f>
        <v>237.2</v>
      </c>
      <c r="C218" s="22" t="n">
        <f aca="false">bxpharma!H219</f>
        <v>124.6</v>
      </c>
      <c r="D218" s="22" t="n">
        <f aca="false">batbc!H219</f>
        <v>376</v>
      </c>
      <c r="E218" s="6" t="n">
        <f aca="false">LN(A217/A218)</f>
        <v>-0.0109966743886406</v>
      </c>
      <c r="F218" s="6" t="n">
        <f aca="false">LN(B217/B218)</f>
        <v>0.0121518361036371</v>
      </c>
      <c r="G218" s="6" t="n">
        <f aca="false">LN(C217/C218)</f>
        <v>-0.0219075698661268</v>
      </c>
      <c r="H218" s="6" t="n">
        <f aca="false">LN(D217/D218)</f>
        <v>-0.00266311741948366</v>
      </c>
      <c r="I218" s="6" t="n">
        <f aca="false">E218-$I$2</f>
        <v>-0.0114098099818609</v>
      </c>
      <c r="J218" s="6" t="n">
        <f aca="false">F218-$J$2</f>
        <v>0.0117387005104168</v>
      </c>
      <c r="K218" s="6" t="n">
        <f aca="false">G218-$K$2</f>
        <v>-0.0223207054593472</v>
      </c>
      <c r="L218" s="6" t="n">
        <f aca="false">H218-$L$2</f>
        <v>-0.003076253012704</v>
      </c>
      <c r="S218" s="9" t="n">
        <v>0.42</v>
      </c>
      <c r="T218" s="9" t="n">
        <v>0.41</v>
      </c>
      <c r="U218" s="9" t="n">
        <v>0.24</v>
      </c>
      <c r="V218" s="9" t="n">
        <v>0.36</v>
      </c>
      <c r="W218" s="22" t="n">
        <f aca="false">SUM(S218:V218)</f>
        <v>1.43</v>
      </c>
      <c r="X218" s="23" t="n">
        <f aca="false">S218/$W218</f>
        <v>0.293706293706294</v>
      </c>
      <c r="Y218" s="23" t="n">
        <f aca="false">T218/$W218</f>
        <v>0.286713286713287</v>
      </c>
      <c r="Z218" s="23" t="n">
        <f aca="false">U218/$W218</f>
        <v>0.167832167832168</v>
      </c>
      <c r="AA218" s="23" t="n">
        <f aca="false">V218/$W218</f>
        <v>0.251748251748252</v>
      </c>
      <c r="AB218" s="23" t="n">
        <f aca="false">SUM(X218:AA218)</f>
        <v>1</v>
      </c>
      <c r="AC218" s="6" t="n">
        <f aca="false" t="array" ref="AC218:AC218">MMULT(MMULT(X218:AA218,$N$2:$Q$5),TRANSPOSE(X218:AA218))</f>
        <v>0.000240227712712595</v>
      </c>
      <c r="AD218" s="6" t="n">
        <f aca="false">SUMPRODUCT(X218:AA218,$E$237:$H$237)</f>
        <v>-0.000178553108197936</v>
      </c>
      <c r="AE218" s="24" t="n">
        <f aca="false">(AD218-$I$2)/SQRT(AC218)</f>
        <v>-0.0381752353509709</v>
      </c>
      <c r="AF218" s="6" t="n">
        <f aca="false">AD218</f>
        <v>-0.000178553108197936</v>
      </c>
      <c r="AG218" s="6" t="n">
        <f aca="false">AC218</f>
        <v>0.000240227712712595</v>
      </c>
      <c r="AH218" s="23" t="n">
        <f aca="false">X218</f>
        <v>0.293706293706294</v>
      </c>
      <c r="AI218" s="23" t="n">
        <f aca="false">Y218</f>
        <v>0.286713286713287</v>
      </c>
      <c r="AJ218" s="23" t="n">
        <f aca="false">Z218</f>
        <v>0.167832167832168</v>
      </c>
      <c r="AK218" s="23" t="n">
        <f aca="false">AA218</f>
        <v>0.251748251748252</v>
      </c>
    </row>
    <row r="219" customFormat="false" ht="15" hidden="false" customHeight="true" outlineLevel="0" collapsed="false">
      <c r="A219" s="22" t="n">
        <f aca="false">aci!H220</f>
        <v>145.5</v>
      </c>
      <c r="B219" s="22" t="n">
        <f aca="false">apexfoot!H220</f>
        <v>238.1</v>
      </c>
      <c r="C219" s="22" t="n">
        <f aca="false">bxpharma!H220</f>
        <v>124.8</v>
      </c>
      <c r="D219" s="22" t="n">
        <f aca="false">batbc!H220</f>
        <v>373.7</v>
      </c>
      <c r="E219" s="6" t="n">
        <f aca="false">LN(A218/A219)</f>
        <v>0.0054832214145314</v>
      </c>
      <c r="F219" s="6" t="n">
        <f aca="false">LN(B218/B219)</f>
        <v>-0.00378708636924672</v>
      </c>
      <c r="G219" s="6" t="n">
        <f aca="false">LN(C218/C219)</f>
        <v>-0.00160384958197452</v>
      </c>
      <c r="H219" s="6" t="n">
        <f aca="false">LN(D218/D219)</f>
        <v>0.00613580689845633</v>
      </c>
      <c r="I219" s="6" t="n">
        <f aca="false">E219-$I$2</f>
        <v>0.00507008582131106</v>
      </c>
      <c r="J219" s="6" t="n">
        <f aca="false">F219-$J$2</f>
        <v>-0.00420022196246706</v>
      </c>
      <c r="K219" s="6" t="n">
        <f aca="false">G219-$K$2</f>
        <v>-0.00201698517519486</v>
      </c>
      <c r="L219" s="6" t="n">
        <f aca="false">H219-$L$2</f>
        <v>0.005722671305236</v>
      </c>
      <c r="S219" s="9" t="n">
        <v>0.04</v>
      </c>
      <c r="T219" s="9" t="n">
        <v>0.85</v>
      </c>
      <c r="U219" s="9" t="n">
        <v>0.02</v>
      </c>
      <c r="V219" s="9" t="n">
        <v>0.15</v>
      </c>
      <c r="W219" s="22" t="n">
        <f aca="false">SUM(S219:V219)</f>
        <v>1.06</v>
      </c>
      <c r="X219" s="23" t="n">
        <f aca="false">S219/$W219</f>
        <v>0.0377358490566038</v>
      </c>
      <c r="Y219" s="23" t="n">
        <f aca="false">T219/$W219</f>
        <v>0.80188679245283</v>
      </c>
      <c r="Z219" s="23" t="n">
        <f aca="false">U219/$W219</f>
        <v>0.0188679245283019</v>
      </c>
      <c r="AA219" s="23" t="n">
        <f aca="false">V219/$W219</f>
        <v>0.141509433962264</v>
      </c>
      <c r="AB219" s="23" t="n">
        <f aca="false">SUM(X219:AA219)</f>
        <v>1</v>
      </c>
      <c r="AC219" s="6" t="n">
        <f aca="false" t="array" ref="AC219:AC219">MMULT(MMULT(X219:AA219,$N$2:$Q$5),TRANSPOSE(X219:AA219))</f>
        <v>0.00025785534821336</v>
      </c>
      <c r="AD219" s="6" t="n">
        <f aca="false">SUMPRODUCT(X219:AA219,$E$237:$H$237)</f>
        <v>-0.000622441034880656</v>
      </c>
      <c r="AE219" s="24" t="n">
        <f aca="false">(AD219-$I$2)/SQRT(AC219)</f>
        <v>-0.0644902660355756</v>
      </c>
      <c r="AF219" s="6" t="n">
        <f aca="false">AD219</f>
        <v>-0.000622441034880656</v>
      </c>
      <c r="AG219" s="6" t="n">
        <f aca="false">AC219</f>
        <v>0.00025785534821336</v>
      </c>
      <c r="AH219" s="23" t="n">
        <f aca="false">X219</f>
        <v>0.0377358490566038</v>
      </c>
      <c r="AI219" s="23" t="n">
        <f aca="false">Y219</f>
        <v>0.80188679245283</v>
      </c>
      <c r="AJ219" s="23" t="n">
        <f aca="false">Z219</f>
        <v>0.0188679245283019</v>
      </c>
      <c r="AK219" s="23" t="n">
        <f aca="false">AA219</f>
        <v>0.141509433962264</v>
      </c>
    </row>
    <row r="220" customFormat="false" ht="15" hidden="false" customHeight="true" outlineLevel="0" collapsed="false">
      <c r="A220" s="22" t="n">
        <f aca="false">aci!H221</f>
        <v>142</v>
      </c>
      <c r="B220" s="22" t="n">
        <f aca="false">apexfoot!H221</f>
        <v>239.9</v>
      </c>
      <c r="C220" s="22" t="n">
        <f aca="false">bxpharma!H221</f>
        <v>127.3</v>
      </c>
      <c r="D220" s="22" t="n">
        <f aca="false">batbc!H221</f>
        <v>377.7</v>
      </c>
      <c r="E220" s="6" t="n">
        <f aca="false">LN(A219/A220)</f>
        <v>0.0243490290102866</v>
      </c>
      <c r="F220" s="6" t="n">
        <f aca="false">LN(B219/B220)</f>
        <v>-0.00753141635283187</v>
      </c>
      <c r="G220" s="6" t="n">
        <f aca="false">LN(C219/C220)</f>
        <v>-0.0198340496280335</v>
      </c>
      <c r="H220" s="6" t="n">
        <f aca="false">LN(D219/D220)</f>
        <v>-0.010646893226973</v>
      </c>
      <c r="I220" s="6" t="n">
        <f aca="false">E220-$I$2</f>
        <v>0.0239358934170662</v>
      </c>
      <c r="J220" s="6" t="n">
        <f aca="false">F220-$J$2</f>
        <v>-0.00794455194605221</v>
      </c>
      <c r="K220" s="6" t="n">
        <f aca="false">G220-$K$2</f>
        <v>-0.0202471852212539</v>
      </c>
      <c r="L220" s="6" t="n">
        <f aca="false">H220-$L$2</f>
        <v>-0.0110600288201934</v>
      </c>
      <c r="S220" s="9" t="n">
        <v>0.54</v>
      </c>
      <c r="T220" s="9" t="n">
        <v>0.75</v>
      </c>
      <c r="U220" s="9" t="n">
        <v>0.37</v>
      </c>
      <c r="V220" s="9" t="n">
        <v>0.19</v>
      </c>
      <c r="W220" s="22" t="n">
        <f aca="false">SUM(S220:V220)</f>
        <v>1.85</v>
      </c>
      <c r="X220" s="23" t="n">
        <f aca="false">S220/$W220</f>
        <v>0.291891891891892</v>
      </c>
      <c r="Y220" s="23" t="n">
        <f aca="false">T220/$W220</f>
        <v>0.405405405405405</v>
      </c>
      <c r="Z220" s="23" t="n">
        <f aca="false">U220/$W220</f>
        <v>0.2</v>
      </c>
      <c r="AA220" s="23" t="n">
        <f aca="false">V220/$W220</f>
        <v>0.102702702702703</v>
      </c>
      <c r="AB220" s="23" t="n">
        <f aca="false">SUM(X220:AA220)</f>
        <v>1</v>
      </c>
      <c r="AC220" s="6" t="n">
        <f aca="false" t="array" ref="AC220:AC220">MMULT(MMULT(X220:AA220,$N$2:$Q$5),TRANSPOSE(X220:AA220))</f>
        <v>0.000237024007814426</v>
      </c>
      <c r="AD220" s="6" t="n">
        <f aca="false">SUMPRODUCT(X220:AA220,$E$237:$H$237)</f>
        <v>-0.000122524468017037</v>
      </c>
      <c r="AE220" s="24" t="n">
        <f aca="false">(AD220-$I$2)/SQRT(AC220)</f>
        <v>-0.0347930978116387</v>
      </c>
      <c r="AF220" s="6" t="n">
        <f aca="false">AD220</f>
        <v>-0.000122524468017037</v>
      </c>
      <c r="AG220" s="6" t="n">
        <f aca="false">AC220</f>
        <v>0.000237024007814426</v>
      </c>
      <c r="AH220" s="23" t="n">
        <f aca="false">X220</f>
        <v>0.291891891891892</v>
      </c>
      <c r="AI220" s="23" t="n">
        <f aca="false">Y220</f>
        <v>0.405405405405405</v>
      </c>
      <c r="AJ220" s="23" t="n">
        <f aca="false">Z220</f>
        <v>0.2</v>
      </c>
      <c r="AK220" s="23" t="n">
        <f aca="false">AA220</f>
        <v>0.102702702702703</v>
      </c>
    </row>
    <row r="221" customFormat="false" ht="15" hidden="false" customHeight="true" outlineLevel="0" collapsed="false">
      <c r="A221" s="22" t="n">
        <f aca="false">aci!H222</f>
        <v>139</v>
      </c>
      <c r="B221" s="22" t="n">
        <f aca="false">apexfoot!H222</f>
        <v>237.7</v>
      </c>
      <c r="C221" s="22" t="n">
        <f aca="false">bxpharma!H222</f>
        <v>124.4</v>
      </c>
      <c r="D221" s="22" t="n">
        <f aca="false">batbc!H222</f>
        <v>378.8</v>
      </c>
      <c r="E221" s="6" t="n">
        <f aca="false">LN(A220/A221)</f>
        <v>0.0213531244705691</v>
      </c>
      <c r="F221" s="6" t="n">
        <f aca="false">LN(B220/B221)</f>
        <v>0.00921279547950076</v>
      </c>
      <c r="G221" s="6" t="n">
        <f aca="false">LN(C220/C221)</f>
        <v>0.0230443252582817</v>
      </c>
      <c r="H221" s="6" t="n">
        <f aca="false">LN(D220/D221)</f>
        <v>-0.00290813159351208</v>
      </c>
      <c r="I221" s="6" t="n">
        <f aca="false">E221-$I$2</f>
        <v>0.0209399888773487</v>
      </c>
      <c r="J221" s="6" t="n">
        <f aca="false">F221-$J$2</f>
        <v>0.00879965988628042</v>
      </c>
      <c r="K221" s="6" t="n">
        <f aca="false">G221-$K$2</f>
        <v>0.0226311896650614</v>
      </c>
      <c r="L221" s="6" t="n">
        <f aca="false">H221-$L$2</f>
        <v>-0.00332126718673242</v>
      </c>
      <c r="S221" s="9" t="n">
        <v>0.42</v>
      </c>
      <c r="T221" s="9" t="n">
        <v>0.25</v>
      </c>
      <c r="U221" s="9" t="n">
        <v>0.76</v>
      </c>
      <c r="V221" s="9" t="n">
        <v>0.52</v>
      </c>
      <c r="W221" s="22" t="n">
        <f aca="false">SUM(S221:V221)</f>
        <v>1.95</v>
      </c>
      <c r="X221" s="23" t="n">
        <f aca="false">S221/$W221</f>
        <v>0.215384615384615</v>
      </c>
      <c r="Y221" s="23" t="n">
        <f aca="false">T221/$W221</f>
        <v>0.128205128205128</v>
      </c>
      <c r="Z221" s="23" t="n">
        <f aca="false">U221/$W221</f>
        <v>0.38974358974359</v>
      </c>
      <c r="AA221" s="23" t="n">
        <f aca="false">V221/$W221</f>
        <v>0.266666666666667</v>
      </c>
      <c r="AB221" s="23" t="n">
        <f aca="false">SUM(X221:AA221)</f>
        <v>1</v>
      </c>
      <c r="AC221" s="6" t="n">
        <f aca="false" t="array" ref="AC221:AC221">MMULT(MMULT(X221:AA221,$N$2:$Q$5),TRANSPOSE(X221:AA221))</f>
        <v>0.000248457093059968</v>
      </c>
      <c r="AD221" s="6" t="n">
        <f aca="false">SUMPRODUCT(X221:AA221,$E$237:$H$237)</f>
        <v>-0.000266735073176248</v>
      </c>
      <c r="AE221" s="24" t="n">
        <f aca="false">(AD221-$I$2)/SQRT(AC221)</f>
        <v>-0.043132100029352</v>
      </c>
      <c r="AF221" s="6" t="n">
        <f aca="false">AD221</f>
        <v>-0.000266735073176248</v>
      </c>
      <c r="AG221" s="6" t="n">
        <f aca="false">AC221</f>
        <v>0.000248457093059968</v>
      </c>
      <c r="AH221" s="23" t="n">
        <f aca="false">X221</f>
        <v>0.215384615384615</v>
      </c>
      <c r="AI221" s="23" t="n">
        <f aca="false">Y221</f>
        <v>0.128205128205128</v>
      </c>
      <c r="AJ221" s="23" t="n">
        <f aca="false">Z221</f>
        <v>0.38974358974359</v>
      </c>
      <c r="AK221" s="23" t="n">
        <f aca="false">AA221</f>
        <v>0.266666666666667</v>
      </c>
    </row>
    <row r="222" customFormat="false" ht="15" hidden="false" customHeight="true" outlineLevel="0" collapsed="false">
      <c r="A222" s="22" t="n">
        <f aca="false">aci!H223</f>
        <v>137.7</v>
      </c>
      <c r="B222" s="22" t="n">
        <f aca="false">apexfoot!H223</f>
        <v>238.2</v>
      </c>
      <c r="C222" s="22" t="n">
        <f aca="false">bxpharma!H223</f>
        <v>118.4</v>
      </c>
      <c r="D222" s="22" t="n">
        <f aca="false">batbc!H223</f>
        <v>369</v>
      </c>
      <c r="E222" s="6" t="n">
        <f aca="false">LN(A221/A222)</f>
        <v>0.00939652739608261</v>
      </c>
      <c r="F222" s="6" t="n">
        <f aca="false">LN(B221/B222)</f>
        <v>-0.00210128255505148</v>
      </c>
      <c r="G222" s="6" t="n">
        <f aca="false">LN(C221/C222)</f>
        <v>0.0494334578551737</v>
      </c>
      <c r="H222" s="6" t="n">
        <f aca="false">LN(D221/D222)</f>
        <v>0.0262117172713961</v>
      </c>
      <c r="I222" s="6" t="n">
        <f aca="false">E222-$I$2</f>
        <v>0.00898339180286227</v>
      </c>
      <c r="J222" s="6" t="n">
        <f aca="false">F222-$J$2</f>
        <v>-0.00251441814827182</v>
      </c>
      <c r="K222" s="6" t="n">
        <f aca="false">G222-$K$2</f>
        <v>0.0490203222619534</v>
      </c>
      <c r="L222" s="6" t="n">
        <f aca="false">H222-$L$2</f>
        <v>0.0257985816781758</v>
      </c>
      <c r="S222" s="9" t="n">
        <v>0.86</v>
      </c>
      <c r="T222" s="9" t="n">
        <v>0.12</v>
      </c>
      <c r="U222" s="9" t="n">
        <v>0.78</v>
      </c>
      <c r="V222" s="9" t="n">
        <v>0.36</v>
      </c>
      <c r="W222" s="22" t="n">
        <f aca="false">SUM(S222:V222)</f>
        <v>2.12</v>
      </c>
      <c r="X222" s="23" t="n">
        <f aca="false">S222/$W222</f>
        <v>0.405660377358491</v>
      </c>
      <c r="Y222" s="23" t="n">
        <f aca="false">T222/$W222</f>
        <v>0.0566037735849057</v>
      </c>
      <c r="Z222" s="23" t="n">
        <f aca="false">U222/$W222</f>
        <v>0.367924528301887</v>
      </c>
      <c r="AA222" s="23" t="n">
        <f aca="false">V222/$W222</f>
        <v>0.169811320754717</v>
      </c>
      <c r="AB222" s="23" t="n">
        <f aca="false">SUM(X222:AA222)</f>
        <v>1</v>
      </c>
      <c r="AC222" s="6" t="n">
        <f aca="false" t="array" ref="AC222:AC222">MMULT(MMULT(X222:AA222,$N$2:$Q$5),TRANSPOSE(X222:AA222))</f>
        <v>0.000319116779007771</v>
      </c>
      <c r="AD222" s="6" t="n">
        <f aca="false">SUMPRODUCT(X222:AA222,$E$237:$H$237)</f>
        <v>9.30144078742405E-005</v>
      </c>
      <c r="AE222" s="24" t="n">
        <f aca="false">(AD222-$I$2)/SQRT(AC222)</f>
        <v>-0.0179200656530656</v>
      </c>
      <c r="AF222" s="6" t="n">
        <f aca="false">AD222</f>
        <v>9.30144078742405E-005</v>
      </c>
      <c r="AG222" s="6" t="n">
        <f aca="false">AC222</f>
        <v>0.000319116779007771</v>
      </c>
      <c r="AH222" s="23" t="n">
        <f aca="false">X222</f>
        <v>0.405660377358491</v>
      </c>
      <c r="AI222" s="23" t="n">
        <f aca="false">Y222</f>
        <v>0.0566037735849057</v>
      </c>
      <c r="AJ222" s="23" t="n">
        <f aca="false">Z222</f>
        <v>0.367924528301887</v>
      </c>
      <c r="AK222" s="23" t="n">
        <f aca="false">AA222</f>
        <v>0.169811320754717</v>
      </c>
    </row>
    <row r="223" customFormat="false" ht="15" hidden="false" customHeight="true" outlineLevel="0" collapsed="false">
      <c r="A223" s="22" t="n">
        <f aca="false">aci!H224</f>
        <v>139.4</v>
      </c>
      <c r="B223" s="22" t="n">
        <f aca="false">apexfoot!H224</f>
        <v>234.3</v>
      </c>
      <c r="C223" s="22" t="n">
        <f aca="false">bxpharma!H224</f>
        <v>119</v>
      </c>
      <c r="D223" s="22" t="n">
        <f aca="false">batbc!H224</f>
        <v>367.9</v>
      </c>
      <c r="E223" s="6" t="n">
        <f aca="false">LN(A222/A223)</f>
        <v>-0.0122700925918145</v>
      </c>
      <c r="F223" s="6" t="n">
        <f aca="false">LN(B222/B223)</f>
        <v>0.0165083114074496</v>
      </c>
      <c r="G223" s="6" t="n">
        <f aca="false">LN(C222/C223)</f>
        <v>-0.00505477066162406</v>
      </c>
      <c r="H223" s="6" t="n">
        <f aca="false">LN(D222/D223)</f>
        <v>0.00298548192979865</v>
      </c>
      <c r="I223" s="6" t="n">
        <f aca="false">E223-$I$2</f>
        <v>-0.0126832281850348</v>
      </c>
      <c r="J223" s="6" t="n">
        <f aca="false">F223-$J$2</f>
        <v>0.0160951758142292</v>
      </c>
      <c r="K223" s="6" t="n">
        <f aca="false">G223-$K$2</f>
        <v>-0.0054679062548444</v>
      </c>
      <c r="L223" s="6" t="n">
        <f aca="false">H223-$L$2</f>
        <v>0.00257234633657831</v>
      </c>
      <c r="S223" s="9" t="n">
        <v>0.19</v>
      </c>
      <c r="T223" s="9" t="n">
        <v>0.98</v>
      </c>
      <c r="U223" s="9" t="n">
        <v>0.79</v>
      </c>
      <c r="V223" s="9" t="n">
        <v>0.55</v>
      </c>
      <c r="W223" s="22" t="n">
        <f aca="false">SUM(S223:V223)</f>
        <v>2.51</v>
      </c>
      <c r="X223" s="23" t="n">
        <f aca="false">S223/$W223</f>
        <v>0.0756972111553785</v>
      </c>
      <c r="Y223" s="23" t="n">
        <f aca="false">T223/$W223</f>
        <v>0.390438247011952</v>
      </c>
      <c r="Z223" s="23" t="n">
        <f aca="false">U223/$W223</f>
        <v>0.314741035856574</v>
      </c>
      <c r="AA223" s="23" t="n">
        <f aca="false">V223/$W223</f>
        <v>0.219123505976096</v>
      </c>
      <c r="AB223" s="23" t="n">
        <f aca="false">SUM(X223:AA223)</f>
        <v>1</v>
      </c>
      <c r="AC223" s="6" t="n">
        <f aca="false" t="array" ref="AC223:AC223">MMULT(MMULT(X223:AA223,$N$2:$Q$5),TRANSPOSE(X223:AA223))</f>
        <v>0.000202201891660406</v>
      </c>
      <c r="AD223" s="6" t="n">
        <f aca="false">SUMPRODUCT(X223:AA223,$E$237:$H$237)</f>
        <v>-0.000511811595198294</v>
      </c>
      <c r="AE223" s="24" t="n">
        <f aca="false">(AD223-$I$2)/SQRT(AC223)</f>
        <v>-0.0650465593593792</v>
      </c>
      <c r="AF223" s="6" t="n">
        <f aca="false">AD223</f>
        <v>-0.000511811595198294</v>
      </c>
      <c r="AG223" s="6" t="n">
        <f aca="false">AC223</f>
        <v>0.000202201891660406</v>
      </c>
      <c r="AH223" s="23" t="n">
        <f aca="false">X223</f>
        <v>0.0756972111553785</v>
      </c>
      <c r="AI223" s="23" t="n">
        <f aca="false">Y223</f>
        <v>0.390438247011952</v>
      </c>
      <c r="AJ223" s="23" t="n">
        <f aca="false">Z223</f>
        <v>0.314741035856574</v>
      </c>
      <c r="AK223" s="23" t="n">
        <f aca="false">AA223</f>
        <v>0.219123505976096</v>
      </c>
    </row>
    <row r="224" customFormat="false" ht="15" hidden="false" customHeight="true" outlineLevel="0" collapsed="false">
      <c r="A224" s="22" t="n">
        <f aca="false">aci!H225</f>
        <v>140.7</v>
      </c>
      <c r="B224" s="22" t="n">
        <f aca="false">apexfoot!H225</f>
        <v>233.5</v>
      </c>
      <c r="C224" s="22" t="n">
        <f aca="false">bxpharma!H225</f>
        <v>116.6</v>
      </c>
      <c r="D224" s="22" t="n">
        <f aca="false">batbc!H225</f>
        <v>374.4</v>
      </c>
      <c r="E224" s="6" t="n">
        <f aca="false">LN(A223/A224)</f>
        <v>-0.00928246579391972</v>
      </c>
      <c r="F224" s="6" t="n">
        <f aca="false">LN(B223/B224)</f>
        <v>0.003420268404798</v>
      </c>
      <c r="G224" s="6" t="n">
        <f aca="false">LN(C223/C224)</f>
        <v>0.0203742191951375</v>
      </c>
      <c r="H224" s="6" t="n">
        <f aca="false">LN(D223/D224)</f>
        <v>-0.0175135824927084</v>
      </c>
      <c r="I224" s="6" t="n">
        <f aca="false">E224-$I$2</f>
        <v>-0.00969560138714006</v>
      </c>
      <c r="J224" s="6" t="n">
        <f aca="false">F224-$J$2</f>
        <v>0.00300713281157766</v>
      </c>
      <c r="K224" s="6" t="n">
        <f aca="false">G224-$K$2</f>
        <v>0.0199610836019172</v>
      </c>
      <c r="L224" s="6" t="n">
        <f aca="false">H224-$L$2</f>
        <v>-0.0179267180859287</v>
      </c>
      <c r="S224" s="9" t="n">
        <v>0.34</v>
      </c>
      <c r="T224" s="9" t="n">
        <v>0.45</v>
      </c>
      <c r="U224" s="9" t="n">
        <v>0.85</v>
      </c>
      <c r="V224" s="9" t="n">
        <v>0.72</v>
      </c>
      <c r="W224" s="22" t="n">
        <f aca="false">SUM(S224:V224)</f>
        <v>2.36</v>
      </c>
      <c r="X224" s="23" t="n">
        <f aca="false">S224/$W224</f>
        <v>0.14406779661017</v>
      </c>
      <c r="Y224" s="23" t="n">
        <f aca="false">T224/$W224</f>
        <v>0.190677966101695</v>
      </c>
      <c r="Z224" s="23" t="n">
        <f aca="false">U224/$W224</f>
        <v>0.360169491525424</v>
      </c>
      <c r="AA224" s="23" t="n">
        <f aca="false">V224/$W224</f>
        <v>0.305084745762712</v>
      </c>
      <c r="AB224" s="23" t="n">
        <f aca="false">SUM(X224:AA224)</f>
        <v>1</v>
      </c>
      <c r="AC224" s="6" t="n">
        <f aca="false" t="array" ref="AC224:AC224">MMULT(MMULT(X224:AA224,$N$2:$Q$5),TRANSPOSE(X224:AA224))</f>
        <v>0.000222572618923841</v>
      </c>
      <c r="AD224" s="6" t="n">
        <f aca="false">SUMPRODUCT(X224:AA224,$E$237:$H$237)</f>
        <v>-0.00041139544328437</v>
      </c>
      <c r="AE224" s="24" t="n">
        <f aca="false">(AD224-$I$2)/SQRT(AC224)</f>
        <v>-0.0552676679588656</v>
      </c>
      <c r="AF224" s="6" t="n">
        <f aca="false">AD224</f>
        <v>-0.00041139544328437</v>
      </c>
      <c r="AG224" s="6" t="n">
        <f aca="false">AC224</f>
        <v>0.000222572618923841</v>
      </c>
      <c r="AH224" s="23" t="n">
        <f aca="false">X224</f>
        <v>0.14406779661017</v>
      </c>
      <c r="AI224" s="23" t="n">
        <f aca="false">Y224</f>
        <v>0.190677966101695</v>
      </c>
      <c r="AJ224" s="23" t="n">
        <f aca="false">Z224</f>
        <v>0.360169491525424</v>
      </c>
      <c r="AK224" s="23" t="n">
        <f aca="false">AA224</f>
        <v>0.305084745762712</v>
      </c>
    </row>
    <row r="225" customFormat="false" ht="15" hidden="false" customHeight="true" outlineLevel="0" collapsed="false">
      <c r="A225" s="22" t="n">
        <f aca="false">aci!H226</f>
        <v>143.9</v>
      </c>
      <c r="B225" s="22" t="n">
        <f aca="false">apexfoot!H226</f>
        <v>239.1</v>
      </c>
      <c r="C225" s="22" t="n">
        <f aca="false">bxpharma!H226</f>
        <v>119.7</v>
      </c>
      <c r="D225" s="22" t="n">
        <f aca="false">batbc!H226</f>
        <v>385.2</v>
      </c>
      <c r="E225" s="6" t="n">
        <f aca="false">LN(A224/A225)</f>
        <v>-0.0224886497729788</v>
      </c>
      <c r="F225" s="6" t="n">
        <f aca="false">LN(B224/B225)</f>
        <v>-0.023699797355327</v>
      </c>
      <c r="G225" s="6" t="n">
        <f aca="false">LN(C224/C225)</f>
        <v>-0.0262393386475355</v>
      </c>
      <c r="H225" s="6" t="n">
        <f aca="false">LN(D224/D225)</f>
        <v>-0.0284379353205335</v>
      </c>
      <c r="I225" s="6" t="n">
        <f aca="false">E225-$I$2</f>
        <v>-0.0229017853661992</v>
      </c>
      <c r="J225" s="6" t="n">
        <f aca="false">F225-$J$2</f>
        <v>-0.0241129329485473</v>
      </c>
      <c r="K225" s="6" t="n">
        <f aca="false">G225-$K$2</f>
        <v>-0.0266524742407559</v>
      </c>
      <c r="L225" s="6" t="n">
        <f aca="false">H225-$L$2</f>
        <v>-0.0288510709137539</v>
      </c>
      <c r="S225" s="9" t="n">
        <v>0.23</v>
      </c>
      <c r="T225" s="9" t="n">
        <v>0.55</v>
      </c>
      <c r="U225" s="9" t="n">
        <v>0.86</v>
      </c>
      <c r="V225" s="9" t="n">
        <v>0.73</v>
      </c>
      <c r="W225" s="22" t="n">
        <f aca="false">SUM(S225:V225)</f>
        <v>2.37</v>
      </c>
      <c r="X225" s="23" t="n">
        <f aca="false">S225/$W225</f>
        <v>0.0970464135021097</v>
      </c>
      <c r="Y225" s="23" t="n">
        <f aca="false">T225/$W225</f>
        <v>0.232067510548523</v>
      </c>
      <c r="Z225" s="23" t="n">
        <f aca="false">U225/$W225</f>
        <v>0.362869198312236</v>
      </c>
      <c r="AA225" s="23" t="n">
        <f aca="false">V225/$W225</f>
        <v>0.308016877637131</v>
      </c>
      <c r="AB225" s="23" t="n">
        <f aca="false">SUM(X225:AA225)</f>
        <v>1</v>
      </c>
      <c r="AC225" s="6" t="n">
        <f aca="false" t="array" ref="AC225:AC225">MMULT(MMULT(X225:AA225,$N$2:$Q$5),TRANSPOSE(X225:AA225))</f>
        <v>0.000213096947376834</v>
      </c>
      <c r="AD225" s="6" t="n">
        <f aca="false">SUMPRODUCT(X225:AA225,$E$237:$H$237)</f>
        <v>-0.000493696967870147</v>
      </c>
      <c r="AE225" s="24" t="n">
        <f aca="false">(AD225-$I$2)/SQRT(AC225)</f>
        <v>-0.0621210076140517</v>
      </c>
      <c r="AF225" s="6" t="n">
        <f aca="false">AD225</f>
        <v>-0.000493696967870147</v>
      </c>
      <c r="AG225" s="6" t="n">
        <f aca="false">AC225</f>
        <v>0.000213096947376834</v>
      </c>
      <c r="AH225" s="23" t="n">
        <f aca="false">X225</f>
        <v>0.0970464135021097</v>
      </c>
      <c r="AI225" s="23" t="n">
        <f aca="false">Y225</f>
        <v>0.232067510548523</v>
      </c>
      <c r="AJ225" s="23" t="n">
        <f aca="false">Z225</f>
        <v>0.362869198312236</v>
      </c>
      <c r="AK225" s="23" t="n">
        <f aca="false">AA225</f>
        <v>0.308016877637131</v>
      </c>
    </row>
    <row r="226" customFormat="false" ht="15" hidden="false" customHeight="true" outlineLevel="0" collapsed="false">
      <c r="A226" s="22" t="n">
        <f aca="false">aci!H227</f>
        <v>138.2</v>
      </c>
      <c r="B226" s="22" t="n">
        <f aca="false">apexfoot!H227</f>
        <v>237.3</v>
      </c>
      <c r="C226" s="22" t="n">
        <f aca="false">bxpharma!H227</f>
        <v>116.1</v>
      </c>
      <c r="D226" s="22" t="n">
        <f aca="false">batbc!H227</f>
        <v>364.5</v>
      </c>
      <c r="E226" s="6" t="n">
        <f aca="false">LN(A225/A226)</f>
        <v>0.0404167025597528</v>
      </c>
      <c r="F226" s="6" t="n">
        <f aca="false">LN(B225/B226)</f>
        <v>0.00755671102256102</v>
      </c>
      <c r="G226" s="6" t="n">
        <f aca="false">LN(C225/C226)</f>
        <v>0.0305367238600817</v>
      </c>
      <c r="H226" s="6" t="n">
        <f aca="false">LN(D225/D226)</f>
        <v>0.0552361284752576</v>
      </c>
      <c r="I226" s="6" t="n">
        <f aca="false">E226-$I$2</f>
        <v>0.0400035669665324</v>
      </c>
      <c r="J226" s="6" t="n">
        <f aca="false">F226-$J$2</f>
        <v>0.00714357542934068</v>
      </c>
      <c r="K226" s="6" t="n">
        <f aca="false">G226-$K$2</f>
        <v>0.0301235882668614</v>
      </c>
      <c r="L226" s="6" t="n">
        <f aca="false">H226-$L$2</f>
        <v>0.0548229928820372</v>
      </c>
      <c r="S226" s="9" t="n">
        <v>0.03</v>
      </c>
      <c r="T226" s="9" t="n">
        <v>0.45</v>
      </c>
      <c r="U226" s="9" t="n">
        <v>0.67</v>
      </c>
      <c r="V226" s="9" t="n">
        <v>0.22</v>
      </c>
      <c r="W226" s="22" t="n">
        <f aca="false">SUM(S226:V226)</f>
        <v>1.37</v>
      </c>
      <c r="X226" s="23" t="n">
        <f aca="false">S226/$W226</f>
        <v>0.0218978102189781</v>
      </c>
      <c r="Y226" s="23" t="n">
        <f aca="false">T226/$W226</f>
        <v>0.328467153284672</v>
      </c>
      <c r="Z226" s="23" t="n">
        <f aca="false">U226/$W226</f>
        <v>0.489051094890511</v>
      </c>
      <c r="AA226" s="23" t="n">
        <f aca="false">V226/$W226</f>
        <v>0.160583941605839</v>
      </c>
      <c r="AB226" s="23" t="n">
        <f aca="false">SUM(X226:AA226)</f>
        <v>1</v>
      </c>
      <c r="AC226" s="6" t="n">
        <f aca="false" t="array" ref="AC226:AC226">MMULT(MMULT(X226:AA226,$N$2:$Q$5),TRANSPOSE(X226:AA226))</f>
        <v>0.000235473143380001</v>
      </c>
      <c r="AD226" s="6" t="n">
        <f aca="false">SUMPRODUCT(X226:AA226,$E$237:$H$237)</f>
        <v>-0.00054337279097784</v>
      </c>
      <c r="AE226" s="24" t="n">
        <f aca="false">(AD226-$I$2)/SQRT(AC226)</f>
        <v>-0.0623330087707882</v>
      </c>
      <c r="AF226" s="6" t="n">
        <f aca="false">AD226</f>
        <v>-0.00054337279097784</v>
      </c>
      <c r="AG226" s="6" t="n">
        <f aca="false">AC226</f>
        <v>0.000235473143380001</v>
      </c>
      <c r="AH226" s="23" t="n">
        <f aca="false">X226</f>
        <v>0.0218978102189781</v>
      </c>
      <c r="AI226" s="23" t="n">
        <f aca="false">Y226</f>
        <v>0.328467153284672</v>
      </c>
      <c r="AJ226" s="23" t="n">
        <f aca="false">Z226</f>
        <v>0.489051094890511</v>
      </c>
      <c r="AK226" s="23" t="n">
        <f aca="false">AA226</f>
        <v>0.160583941605839</v>
      </c>
    </row>
    <row r="227" customFormat="false" ht="15" hidden="false" customHeight="true" outlineLevel="0" collapsed="false">
      <c r="A227" s="22" t="n">
        <f aca="false">aci!H228</f>
        <v>141.5</v>
      </c>
      <c r="B227" s="22" t="n">
        <f aca="false">apexfoot!H228</f>
        <v>238.1</v>
      </c>
      <c r="C227" s="22" t="n">
        <f aca="false">bxpharma!H228</f>
        <v>116.6</v>
      </c>
      <c r="D227" s="22" t="n">
        <f aca="false">batbc!H228</f>
        <v>373.1</v>
      </c>
      <c r="E227" s="6" t="n">
        <f aca="false">LN(A226/A227)</f>
        <v>-0.0235978057497228</v>
      </c>
      <c r="F227" s="6" t="n">
        <f aca="false">LN(B226/B227)</f>
        <v>-0.00336559005109919</v>
      </c>
      <c r="G227" s="6" t="n">
        <f aca="false">LN(C226/C227)</f>
        <v>-0.00429738521254621</v>
      </c>
      <c r="H227" s="6" t="n">
        <f aca="false">LN(D226/D227)</f>
        <v>-0.0233199287783993</v>
      </c>
      <c r="I227" s="6" t="n">
        <f aca="false">E227-$I$2</f>
        <v>-0.0240109413429432</v>
      </c>
      <c r="J227" s="6" t="n">
        <f aca="false">F227-$J$2</f>
        <v>-0.00377872564431953</v>
      </c>
      <c r="K227" s="6" t="n">
        <f aca="false">G227-$K$2</f>
        <v>-0.00471052080576655</v>
      </c>
      <c r="L227" s="6" t="n">
        <f aca="false">H227-$L$2</f>
        <v>-0.0237330643716197</v>
      </c>
      <c r="S227" s="9" t="n">
        <v>0.29</v>
      </c>
      <c r="T227" s="9" t="n">
        <v>0.42</v>
      </c>
      <c r="U227" s="9" t="n">
        <v>0.23</v>
      </c>
      <c r="V227" s="9" t="n">
        <v>0.31</v>
      </c>
      <c r="W227" s="22" t="n">
        <f aca="false">SUM(S227:V227)</f>
        <v>1.25</v>
      </c>
      <c r="X227" s="23" t="n">
        <f aca="false">S227/$W227</f>
        <v>0.232</v>
      </c>
      <c r="Y227" s="23" t="n">
        <f aca="false">T227/$W227</f>
        <v>0.336</v>
      </c>
      <c r="Z227" s="23" t="n">
        <f aca="false">U227/$W227</f>
        <v>0.184</v>
      </c>
      <c r="AA227" s="23" t="n">
        <f aca="false">V227/$W227</f>
        <v>0.248</v>
      </c>
      <c r="AB227" s="23" t="n">
        <f aca="false">SUM(X227:AA227)</f>
        <v>1</v>
      </c>
      <c r="AC227" s="6" t="n">
        <f aca="false" t="array" ref="AC227:AC227">MMULT(MMULT(X227:AA227,$N$2:$Q$5),TRANSPOSE(X227:AA227))</f>
        <v>0.000221537670952766</v>
      </c>
      <c r="AD227" s="6" t="n">
        <f aca="false">SUMPRODUCT(X227:AA227,$E$237:$H$237)</f>
        <v>-0.000280894943897064</v>
      </c>
      <c r="AE227" s="24" t="n">
        <f aca="false">(AD227-$I$2)/SQRT(AC227)</f>
        <v>-0.0466288588289079</v>
      </c>
      <c r="AF227" s="6" t="n">
        <f aca="false">AD227</f>
        <v>-0.000280894943897064</v>
      </c>
      <c r="AG227" s="6" t="n">
        <f aca="false">AC227</f>
        <v>0.000221537670952766</v>
      </c>
      <c r="AH227" s="23" t="n">
        <f aca="false">X227</f>
        <v>0.232</v>
      </c>
      <c r="AI227" s="23" t="n">
        <f aca="false">Y227</f>
        <v>0.336</v>
      </c>
      <c r="AJ227" s="23" t="n">
        <f aca="false">Z227</f>
        <v>0.184</v>
      </c>
      <c r="AK227" s="23" t="n">
        <f aca="false">AA227</f>
        <v>0.248</v>
      </c>
    </row>
    <row r="228" customFormat="false" ht="15" hidden="false" customHeight="true" outlineLevel="0" collapsed="false">
      <c r="A228" s="22" t="n">
        <f aca="false">aci!H229</f>
        <v>143.9</v>
      </c>
      <c r="B228" s="22" t="n">
        <f aca="false">apexfoot!H229</f>
        <v>238.9</v>
      </c>
      <c r="C228" s="22" t="n">
        <f aca="false">bxpharma!H229</f>
        <v>119</v>
      </c>
      <c r="D228" s="22" t="n">
        <f aca="false">batbc!H229</f>
        <v>385.8</v>
      </c>
      <c r="E228" s="6" t="n">
        <f aca="false">LN(A227/A228)</f>
        <v>-0.0168188968100298</v>
      </c>
      <c r="F228" s="6" t="n">
        <f aca="false">LN(B227/B228)</f>
        <v>-0.00335430083894676</v>
      </c>
      <c r="G228" s="6" t="n">
        <f aca="false">LN(C227/C228)</f>
        <v>-0.0203742191951374</v>
      </c>
      <c r="H228" s="6" t="n">
        <f aca="false">LN(D227/D228)</f>
        <v>-0.0334726202445165</v>
      </c>
      <c r="I228" s="6" t="n">
        <f aca="false">E228-$I$2</f>
        <v>-0.0172320324032502</v>
      </c>
      <c r="J228" s="6" t="n">
        <f aca="false">F228-$J$2</f>
        <v>-0.0037674364321671</v>
      </c>
      <c r="K228" s="6" t="n">
        <f aca="false">G228-$K$2</f>
        <v>-0.0207873547883578</v>
      </c>
      <c r="L228" s="6" t="n">
        <f aca="false">H228-$L$2</f>
        <v>-0.0338857558377368</v>
      </c>
      <c r="S228" s="9" t="n">
        <v>0.5</v>
      </c>
      <c r="T228" s="9" t="n">
        <v>0.18</v>
      </c>
      <c r="U228" s="9" t="n">
        <v>0.33</v>
      </c>
      <c r="V228" s="9" t="n">
        <v>0.96</v>
      </c>
      <c r="W228" s="22" t="n">
        <f aca="false">SUM(S228:V228)</f>
        <v>1.97</v>
      </c>
      <c r="X228" s="23" t="n">
        <f aca="false">S228/$W228</f>
        <v>0.253807106598985</v>
      </c>
      <c r="Y228" s="23" t="n">
        <f aca="false">T228/$W228</f>
        <v>0.0913705583756345</v>
      </c>
      <c r="Z228" s="23" t="n">
        <f aca="false">U228/$W228</f>
        <v>0.16751269035533</v>
      </c>
      <c r="AA228" s="23" t="n">
        <f aca="false">V228/$W228</f>
        <v>0.487309644670051</v>
      </c>
      <c r="AB228" s="23" t="n">
        <f aca="false">SUM(X228:AA228)</f>
        <v>1</v>
      </c>
      <c r="AC228" s="6" t="n">
        <f aca="false" t="array" ref="AC228:AC228">MMULT(MMULT(X228:AA228,$N$2:$Q$5),TRANSPOSE(X228:AA228))</f>
        <v>0.00025874017343241</v>
      </c>
      <c r="AD228" s="6" t="n">
        <f aca="false">SUMPRODUCT(X228:AA228,$E$237:$H$237)</f>
        <v>-0.000329461433165508</v>
      </c>
      <c r="AE228" s="24" t="n">
        <f aca="false">(AD228-$I$2)/SQRT(AC228)</f>
        <v>-0.0461658964771131</v>
      </c>
      <c r="AF228" s="6" t="n">
        <f aca="false">AD228</f>
        <v>-0.000329461433165508</v>
      </c>
      <c r="AG228" s="6" t="n">
        <f aca="false">AC228</f>
        <v>0.00025874017343241</v>
      </c>
      <c r="AH228" s="23" t="n">
        <f aca="false">X228</f>
        <v>0.253807106598985</v>
      </c>
      <c r="AI228" s="23" t="n">
        <f aca="false">Y228</f>
        <v>0.0913705583756345</v>
      </c>
      <c r="AJ228" s="23" t="n">
        <f aca="false">Z228</f>
        <v>0.16751269035533</v>
      </c>
      <c r="AK228" s="23" t="n">
        <f aca="false">AA228</f>
        <v>0.487309644670051</v>
      </c>
    </row>
    <row r="229" customFormat="false" ht="15" hidden="false" customHeight="true" outlineLevel="0" collapsed="false">
      <c r="A229" s="22" t="n">
        <f aca="false">aci!H230</f>
        <v>145.2</v>
      </c>
      <c r="B229" s="22" t="n">
        <f aca="false">apexfoot!H230</f>
        <v>240.3</v>
      </c>
      <c r="C229" s="22" t="n">
        <f aca="false">bxpharma!H230</f>
        <v>119.2</v>
      </c>
      <c r="D229" s="22" t="n">
        <f aca="false">batbc!H230</f>
        <v>390.3</v>
      </c>
      <c r="E229" s="6" t="n">
        <f aca="false">LN(A228/A229)</f>
        <v>-0.00899348849737342</v>
      </c>
      <c r="F229" s="6" t="n">
        <f aca="false">LN(B228/B229)</f>
        <v>-0.00584308841065936</v>
      </c>
      <c r="G229" s="6" t="n">
        <f aca="false">LN(C228/C229)</f>
        <v>-0.00167926151972003</v>
      </c>
      <c r="H229" s="6" t="n">
        <f aca="false">LN(D228/D229)</f>
        <v>-0.0115965737149405</v>
      </c>
      <c r="I229" s="6" t="n">
        <f aca="false">E229-$I$2</f>
        <v>-0.00940662409059376</v>
      </c>
      <c r="J229" s="6" t="n">
        <f aca="false">F229-$J$2</f>
        <v>-0.0062562240038797</v>
      </c>
      <c r="K229" s="6" t="n">
        <f aca="false">G229-$K$2</f>
        <v>-0.00209239711294036</v>
      </c>
      <c r="L229" s="6" t="n">
        <f aca="false">H229-$L$2</f>
        <v>-0.0120097093081609</v>
      </c>
      <c r="S229" s="9" t="n">
        <v>0.93</v>
      </c>
      <c r="T229" s="9" t="n">
        <v>0.21</v>
      </c>
      <c r="U229" s="9" t="n">
        <v>0.61</v>
      </c>
      <c r="V229" s="9" t="n">
        <v>0.93</v>
      </c>
      <c r="W229" s="22" t="n">
        <f aca="false">SUM(S229:V229)</f>
        <v>2.68</v>
      </c>
      <c r="X229" s="23" t="n">
        <f aca="false">S229/$W229</f>
        <v>0.347014925373134</v>
      </c>
      <c r="Y229" s="23" t="n">
        <f aca="false">T229/$W229</f>
        <v>0.0783582089552239</v>
      </c>
      <c r="Z229" s="23" t="n">
        <f aca="false">U229/$W229</f>
        <v>0.227611940298507</v>
      </c>
      <c r="AA229" s="23" t="n">
        <f aca="false">V229/$W229</f>
        <v>0.347014925373134</v>
      </c>
      <c r="AB229" s="23" t="n">
        <f aca="false">SUM(X229:AA229)</f>
        <v>1</v>
      </c>
      <c r="AC229" s="6" t="n">
        <f aca="false" t="array" ref="AC229:AC229">MMULT(MMULT(X229:AA229,$N$2:$Q$5),TRANSPOSE(X229:AA229))</f>
        <v>0.000281111322435598</v>
      </c>
      <c r="AD229" s="6" t="n">
        <f aca="false">SUMPRODUCT(X229:AA229,$E$237:$H$237)</f>
        <v>-0.000104138995556596</v>
      </c>
      <c r="AE229" s="24" t="n">
        <f aca="false">(AD229-$I$2)/SQRT(AC229)</f>
        <v>-0.0308519042623104</v>
      </c>
      <c r="AF229" s="6" t="n">
        <f aca="false">AD229</f>
        <v>-0.000104138995556596</v>
      </c>
      <c r="AG229" s="6" t="n">
        <f aca="false">AC229</f>
        <v>0.000281111322435598</v>
      </c>
      <c r="AH229" s="23" t="n">
        <f aca="false">X229</f>
        <v>0.347014925373134</v>
      </c>
      <c r="AI229" s="23" t="n">
        <f aca="false">Y229</f>
        <v>0.0783582089552239</v>
      </c>
      <c r="AJ229" s="23" t="n">
        <f aca="false">Z229</f>
        <v>0.227611940298507</v>
      </c>
      <c r="AK229" s="23" t="n">
        <f aca="false">AA229</f>
        <v>0.347014925373134</v>
      </c>
    </row>
    <row r="230" customFormat="false" ht="15" hidden="false" customHeight="true" outlineLevel="0" collapsed="false">
      <c r="A230" s="22" t="n">
        <f aca="false">aci!H231</f>
        <v>145.3</v>
      </c>
      <c r="B230" s="22" t="n">
        <f aca="false">apexfoot!H231</f>
        <v>241.7</v>
      </c>
      <c r="C230" s="22" t="n">
        <f aca="false">bxpharma!H231</f>
        <v>118.9</v>
      </c>
      <c r="D230" s="22" t="n">
        <f aca="false">batbc!H231</f>
        <v>389.8</v>
      </c>
      <c r="E230" s="6" t="n">
        <f aca="false">LN(A229/A230)</f>
        <v>-0.000688468185541674</v>
      </c>
      <c r="F230" s="6" t="n">
        <f aca="false">LN(B229/B230)</f>
        <v>-0.00580914496701398</v>
      </c>
      <c r="G230" s="6" t="n">
        <f aca="false">LN(C229/C230)</f>
        <v>0.00251995093451319</v>
      </c>
      <c r="H230" s="6" t="n">
        <f aca="false">LN(D229/D230)</f>
        <v>0.00128188711310889</v>
      </c>
      <c r="I230" s="6" t="n">
        <f aca="false">E230-$I$2</f>
        <v>-0.00110160377876201</v>
      </c>
      <c r="J230" s="6" t="n">
        <f aca="false">F230-$J$2</f>
        <v>-0.00622228056023432</v>
      </c>
      <c r="K230" s="6" t="n">
        <f aca="false">G230-$K$2</f>
        <v>0.00210681534129286</v>
      </c>
      <c r="L230" s="6" t="n">
        <f aca="false">H230-$L$2</f>
        <v>0.000868751519888556</v>
      </c>
      <c r="S230" s="9" t="n">
        <v>0.04</v>
      </c>
      <c r="T230" s="9" t="n">
        <v>0.29</v>
      </c>
      <c r="U230" s="9" t="n">
        <v>0.78</v>
      </c>
      <c r="V230" s="9" t="n">
        <v>0.87</v>
      </c>
      <c r="W230" s="22" t="n">
        <f aca="false">SUM(S230:V230)</f>
        <v>1.98</v>
      </c>
      <c r="X230" s="23" t="n">
        <f aca="false">S230/$W230</f>
        <v>0.0202020202020202</v>
      </c>
      <c r="Y230" s="23" t="n">
        <f aca="false">T230/$W230</f>
        <v>0.146464646464646</v>
      </c>
      <c r="Z230" s="23" t="n">
        <f aca="false">U230/$W230</f>
        <v>0.393939393939394</v>
      </c>
      <c r="AA230" s="23" t="n">
        <f aca="false">V230/$W230</f>
        <v>0.439393939393939</v>
      </c>
      <c r="AB230" s="23" t="n">
        <f aca="false">SUM(X230:AA230)</f>
        <v>1</v>
      </c>
      <c r="AC230" s="6" t="n">
        <f aca="false" t="array" ref="AC230:AC230">MMULT(MMULT(X230:AA230,$N$2:$Q$5),TRANSPOSE(X230:AA230))</f>
        <v>0.000218705398440642</v>
      </c>
      <c r="AD230" s="6" t="n">
        <f aca="false">SUMPRODUCT(X230:AA230,$E$237:$H$237)</f>
        <v>-0.000665466877698399</v>
      </c>
      <c r="AE230" s="24" t="n">
        <f aca="false">(AD230-$I$2)/SQRT(AC230)</f>
        <v>-0.0729342731638029</v>
      </c>
      <c r="AF230" s="6" t="n">
        <f aca="false">AD230</f>
        <v>-0.000665466877698399</v>
      </c>
      <c r="AG230" s="6" t="n">
        <f aca="false">AC230</f>
        <v>0.000218705398440642</v>
      </c>
      <c r="AH230" s="23" t="n">
        <f aca="false">X230</f>
        <v>0.0202020202020202</v>
      </c>
      <c r="AI230" s="23" t="n">
        <f aca="false">Y230</f>
        <v>0.146464646464646</v>
      </c>
      <c r="AJ230" s="23" t="n">
        <f aca="false">Z230</f>
        <v>0.393939393939394</v>
      </c>
      <c r="AK230" s="23" t="n">
        <f aca="false">AA230</f>
        <v>0.439393939393939</v>
      </c>
    </row>
    <row r="231" customFormat="false" ht="15" hidden="false" customHeight="true" outlineLevel="0" collapsed="false">
      <c r="A231" s="22" t="n">
        <f aca="false">aci!H232</f>
        <v>148.8</v>
      </c>
      <c r="B231" s="22" t="n">
        <f aca="false">apexfoot!H232</f>
        <v>240.8</v>
      </c>
      <c r="C231" s="22" t="n">
        <f aca="false">bxpharma!H232</f>
        <v>117.7</v>
      </c>
      <c r="D231" s="22" t="n">
        <f aca="false">batbc!H232</f>
        <v>393.8</v>
      </c>
      <c r="E231" s="6" t="n">
        <f aca="false">LN(A230/A231)</f>
        <v>-0.0238025518227543</v>
      </c>
      <c r="F231" s="6" t="n">
        <f aca="false">LN(B230/B231)</f>
        <v>0.00373057427477117</v>
      </c>
      <c r="G231" s="6" t="n">
        <f aca="false">LN(C230/C231)</f>
        <v>0.010143789430505</v>
      </c>
      <c r="H231" s="6" t="n">
        <f aca="false">LN(D230/D231)</f>
        <v>-0.0102093791315647</v>
      </c>
      <c r="I231" s="6" t="n">
        <f aca="false">E231-$I$2</f>
        <v>-0.0242156874159746</v>
      </c>
      <c r="J231" s="6" t="n">
        <f aca="false">F231-$J$2</f>
        <v>0.00331743868155083</v>
      </c>
      <c r="K231" s="6" t="n">
        <f aca="false">G231-$K$2</f>
        <v>0.0097306538372847</v>
      </c>
      <c r="L231" s="6" t="n">
        <f aca="false">H231-$L$2</f>
        <v>-0.010622514724785</v>
      </c>
      <c r="S231" s="9" t="n">
        <v>0.98</v>
      </c>
      <c r="T231" s="9" t="n">
        <v>0.13</v>
      </c>
      <c r="U231" s="9" t="n">
        <v>0.3</v>
      </c>
      <c r="V231" s="9" t="n">
        <v>0.38</v>
      </c>
      <c r="W231" s="22" t="n">
        <f aca="false">SUM(S231:V231)</f>
        <v>1.79</v>
      </c>
      <c r="X231" s="23" t="n">
        <f aca="false">S231/$W231</f>
        <v>0.547486033519553</v>
      </c>
      <c r="Y231" s="23" t="n">
        <f aca="false">T231/$W231</f>
        <v>0.0726256983240224</v>
      </c>
      <c r="Z231" s="23" t="n">
        <f aca="false">U231/$W231</f>
        <v>0.167597765363128</v>
      </c>
      <c r="AA231" s="23" t="n">
        <f aca="false">V231/$W231</f>
        <v>0.212290502793296</v>
      </c>
      <c r="AB231" s="23" t="n">
        <f aca="false">SUM(X231:AA231)</f>
        <v>1</v>
      </c>
      <c r="AC231" s="6" t="n">
        <f aca="false" t="array" ref="AC231:AC231">MMULT(MMULT(X231:AA231,$N$2:$Q$5),TRANSPOSE(X231:AA231))</f>
        <v>0.000370322672027706</v>
      </c>
      <c r="AD231" s="6" t="n">
        <f aca="false">SUMPRODUCT(X231:AA231,$E$237:$H$237)</f>
        <v>0.000277247370381571</v>
      </c>
      <c r="AE231" s="24" t="n">
        <f aca="false">(AD231-$I$2)/SQRT(AC231)</f>
        <v>-0.00706141390179939</v>
      </c>
      <c r="AF231" s="6" t="n">
        <f aca="false">AD231</f>
        <v>0.000277247370381571</v>
      </c>
      <c r="AG231" s="6" t="n">
        <f aca="false">AC231</f>
        <v>0.000370322672027706</v>
      </c>
      <c r="AH231" s="23" t="n">
        <f aca="false">X231</f>
        <v>0.547486033519553</v>
      </c>
      <c r="AI231" s="23" t="n">
        <f aca="false">Y231</f>
        <v>0.0726256983240224</v>
      </c>
      <c r="AJ231" s="23" t="n">
        <f aca="false">Z231</f>
        <v>0.167597765363128</v>
      </c>
      <c r="AK231" s="23" t="n">
        <f aca="false">AA231</f>
        <v>0.212290502793296</v>
      </c>
    </row>
    <row r="232" customFormat="false" ht="15" hidden="false" customHeight="true" outlineLevel="0" collapsed="false">
      <c r="A232" s="22" t="n">
        <f aca="false">aci!H233</f>
        <v>152.6</v>
      </c>
      <c r="B232" s="22" t="n">
        <f aca="false">apexfoot!H233</f>
        <v>243.1</v>
      </c>
      <c r="C232" s="22" t="n">
        <f aca="false">bxpharma!H233</f>
        <v>119.5</v>
      </c>
      <c r="D232" s="22" t="n">
        <f aca="false">batbc!H233</f>
        <v>399.4</v>
      </c>
      <c r="E232" s="6" t="n">
        <f aca="false">LN(A231/A232)</f>
        <v>-0.025216996451365</v>
      </c>
      <c r="F232" s="6" t="n">
        <f aca="false">LN(B231/B232)</f>
        <v>-0.00950616788741158</v>
      </c>
      <c r="G232" s="6" t="n">
        <f aca="false">LN(C231/C232)</f>
        <v>-0.0151773571053343</v>
      </c>
      <c r="H232" s="6" t="n">
        <f aca="false">LN(D231/D232)</f>
        <v>-0.0141202547766896</v>
      </c>
      <c r="I232" s="6" t="n">
        <f aca="false">E232-$I$2</f>
        <v>-0.0256301320445854</v>
      </c>
      <c r="J232" s="6" t="n">
        <f aca="false">F232-$J$2</f>
        <v>-0.00991930348063192</v>
      </c>
      <c r="K232" s="6" t="n">
        <f aca="false">G232-$K$2</f>
        <v>-0.0155904926985547</v>
      </c>
      <c r="L232" s="6" t="n">
        <f aca="false">H232-$L$2</f>
        <v>-0.01453339036991</v>
      </c>
      <c r="S232" s="9" t="n">
        <v>0.44</v>
      </c>
      <c r="T232" s="9" t="n">
        <v>0.97</v>
      </c>
      <c r="U232" s="9" t="n">
        <v>0.11</v>
      </c>
      <c r="V232" s="9" t="n">
        <v>0.3</v>
      </c>
      <c r="W232" s="22" t="n">
        <f aca="false">SUM(S232:V232)</f>
        <v>1.82</v>
      </c>
      <c r="X232" s="23" t="n">
        <f aca="false">S232/$W232</f>
        <v>0.241758241758242</v>
      </c>
      <c r="Y232" s="23" t="n">
        <f aca="false">T232/$W232</f>
        <v>0.532967032967033</v>
      </c>
      <c r="Z232" s="23" t="n">
        <f aca="false">U232/$W232</f>
        <v>0.0604395604395604</v>
      </c>
      <c r="AA232" s="23" t="n">
        <f aca="false">V232/$W232</f>
        <v>0.164835164835165</v>
      </c>
      <c r="AB232" s="23" t="n">
        <f aca="false">SUM(X232:AA232)</f>
        <v>1</v>
      </c>
      <c r="AC232" s="6" t="n">
        <f aca="false" t="array" ref="AC232:AC232">MMULT(MMULT(X232:AA232,$N$2:$Q$5),TRANSPOSE(X232:AA232))</f>
        <v>0.000236990665988446</v>
      </c>
      <c r="AD232" s="6" t="n">
        <f aca="false">SUMPRODUCT(X232:AA232,$E$237:$H$237)</f>
        <v>-0.000264947779613797</v>
      </c>
      <c r="AE232" s="24" t="n">
        <f aca="false">(AD232-$I$2)/SQRT(AC232)</f>
        <v>-0.0440471156391104</v>
      </c>
      <c r="AF232" s="6" t="n">
        <f aca="false">AD232</f>
        <v>-0.000264947779613797</v>
      </c>
      <c r="AG232" s="6" t="n">
        <f aca="false">AC232</f>
        <v>0.000236990665988446</v>
      </c>
      <c r="AH232" s="23" t="n">
        <f aca="false">X232</f>
        <v>0.241758241758242</v>
      </c>
      <c r="AI232" s="23" t="n">
        <f aca="false">Y232</f>
        <v>0.532967032967033</v>
      </c>
      <c r="AJ232" s="23" t="n">
        <f aca="false">Z232</f>
        <v>0.0604395604395604</v>
      </c>
      <c r="AK232" s="23" t="n">
        <f aca="false">AA232</f>
        <v>0.164835164835165</v>
      </c>
    </row>
    <row r="233" customFormat="false" ht="15" hidden="false" customHeight="true" outlineLevel="0" collapsed="false">
      <c r="A233" s="22" t="n">
        <f aca="false">aci!H234</f>
        <v>153.2</v>
      </c>
      <c r="B233" s="22" t="n">
        <f aca="false">apexfoot!H234</f>
        <v>243.6</v>
      </c>
      <c r="C233" s="22" t="n">
        <f aca="false">bxpharma!H234</f>
        <v>119.3</v>
      </c>
      <c r="D233" s="22" t="n">
        <f aca="false">batbc!H234</f>
        <v>399.6</v>
      </c>
      <c r="E233" s="6" t="n">
        <f aca="false">LN(A232/A233)</f>
        <v>-0.00392413845613426</v>
      </c>
      <c r="F233" s="6" t="n">
        <f aca="false">LN(B232/B233)</f>
        <v>-0.00205465451366425</v>
      </c>
      <c r="G233" s="6" t="n">
        <f aca="false">LN(C232/C233)</f>
        <v>0.0016750422676949</v>
      </c>
      <c r="H233" s="6" t="n">
        <f aca="false">LN(D232/D233)</f>
        <v>-0.000500625792683768</v>
      </c>
      <c r="I233" s="6" t="n">
        <f aca="false">E233-$I$2</f>
        <v>-0.0043372740493546</v>
      </c>
      <c r="J233" s="6" t="n">
        <f aca="false">F233-$J$2</f>
        <v>-0.00246779010688459</v>
      </c>
      <c r="K233" s="6" t="n">
        <f aca="false">G233-$K$2</f>
        <v>0.00126190667447456</v>
      </c>
      <c r="L233" s="6" t="n">
        <f aca="false">H233-$L$2</f>
        <v>-0.000913761385904106</v>
      </c>
      <c r="S233" s="9" t="n">
        <v>0.7</v>
      </c>
      <c r="T233" s="9" t="n">
        <v>0.57</v>
      </c>
      <c r="U233" s="9" t="n">
        <v>0.6</v>
      </c>
      <c r="V233" s="9" t="n">
        <v>0.65</v>
      </c>
      <c r="W233" s="22" t="n">
        <f aca="false">SUM(S233:V233)</f>
        <v>2.52</v>
      </c>
      <c r="X233" s="23" t="n">
        <f aca="false">S233/$W233</f>
        <v>0.277777777777778</v>
      </c>
      <c r="Y233" s="23" t="n">
        <f aca="false">T233/$W233</f>
        <v>0.226190476190476</v>
      </c>
      <c r="Z233" s="23" t="n">
        <f aca="false">U233/$W233</f>
        <v>0.238095238095238</v>
      </c>
      <c r="AA233" s="23" t="n">
        <f aca="false">V233/$W233</f>
        <v>0.257936507936508</v>
      </c>
      <c r="AB233" s="23" t="n">
        <f aca="false">SUM(X233:AA233)</f>
        <v>1</v>
      </c>
      <c r="AC233" s="6" t="n">
        <f aca="false" t="array" ref="AC233:AC233">MMULT(MMULT(X233:AA233,$N$2:$Q$5),TRANSPOSE(X233:AA233))</f>
        <v>0.000239366677083893</v>
      </c>
      <c r="AD233" s="6" t="n">
        <f aca="false">SUMPRODUCT(X233:AA233,$E$237:$H$237)</f>
        <v>-0.000191522101297787</v>
      </c>
      <c r="AE233" s="24" t="n">
        <f aca="false">(AD233-$I$2)/SQRT(AC233)</f>
        <v>-0.0390820862072562</v>
      </c>
      <c r="AF233" s="6" t="n">
        <f aca="false">AD233</f>
        <v>-0.000191522101297787</v>
      </c>
      <c r="AG233" s="6" t="n">
        <f aca="false">AC233</f>
        <v>0.000239366677083893</v>
      </c>
      <c r="AH233" s="23" t="n">
        <f aca="false">X233</f>
        <v>0.277777777777778</v>
      </c>
      <c r="AI233" s="23" t="n">
        <f aca="false">Y233</f>
        <v>0.226190476190476</v>
      </c>
      <c r="AJ233" s="23" t="n">
        <f aca="false">Z233</f>
        <v>0.238095238095238</v>
      </c>
      <c r="AK233" s="23" t="n">
        <f aca="false">AA233</f>
        <v>0.257936507936508</v>
      </c>
    </row>
    <row r="234" customFormat="false" ht="15" hidden="false" customHeight="true" outlineLevel="0" collapsed="false">
      <c r="A234" s="22" t="n">
        <f aca="false">aci!H235</f>
        <v>153.1</v>
      </c>
      <c r="B234" s="22" t="n">
        <f aca="false">apexfoot!H235</f>
        <v>243.5</v>
      </c>
      <c r="C234" s="22" t="n">
        <f aca="false">bxpharma!H235</f>
        <v>118.3</v>
      </c>
      <c r="D234" s="22" t="n">
        <f aca="false">batbc!H235</f>
        <v>399.5</v>
      </c>
      <c r="E234" s="6" t="n">
        <f aca="false">LN(A233/A234)</f>
        <v>0.000652954642852817</v>
      </c>
      <c r="F234" s="6" t="n">
        <f aca="false">LN(B233/B234)</f>
        <v>0.000410593313097561</v>
      </c>
      <c r="G234" s="6" t="n">
        <f aca="false">LN(C233/C234)</f>
        <v>0.00841755811952944</v>
      </c>
      <c r="H234" s="6" t="n">
        <f aca="false">LN(D233/D234)</f>
        <v>0.000250281568069194</v>
      </c>
      <c r="I234" s="6" t="n">
        <f aca="false">E234-$I$2</f>
        <v>0.000239819049632478</v>
      </c>
      <c r="J234" s="6" t="n">
        <f aca="false">F234-$J$2</f>
        <v>-2.54228012277802E-006</v>
      </c>
      <c r="K234" s="6" t="n">
        <f aca="false">G234-$K$2</f>
        <v>0.0080044225263091</v>
      </c>
      <c r="L234" s="6" t="n">
        <f aca="false">H234-$L$2</f>
        <v>-0.000162854025151145</v>
      </c>
      <c r="S234" s="9" t="n">
        <v>0.93</v>
      </c>
      <c r="T234" s="9" t="n">
        <v>0.7</v>
      </c>
      <c r="U234" s="9" t="n">
        <v>0.09</v>
      </c>
      <c r="V234" s="9" t="n">
        <v>0.41</v>
      </c>
      <c r="W234" s="22" t="n">
        <f aca="false">SUM(S234:V234)</f>
        <v>2.13</v>
      </c>
      <c r="X234" s="23" t="n">
        <f aca="false">S234/$W234</f>
        <v>0.436619718309859</v>
      </c>
      <c r="Y234" s="23" t="n">
        <f aca="false">T234/$W234</f>
        <v>0.328638497652582</v>
      </c>
      <c r="Z234" s="23" t="n">
        <f aca="false">U234/$W234</f>
        <v>0.0422535211267606</v>
      </c>
      <c r="AA234" s="23" t="n">
        <f aca="false">V234/$W234</f>
        <v>0.192488262910798</v>
      </c>
      <c r="AB234" s="23" t="n">
        <f aca="false">SUM(X234:AA234)</f>
        <v>1</v>
      </c>
      <c r="AC234" s="6" t="n">
        <f aca="false" t="array" ref="AC234:AC234">MMULT(MMULT(X234:AA234,$N$2:$Q$5),TRANSPOSE(X234:AA234))</f>
        <v>0.000299851887447669</v>
      </c>
      <c r="AD234" s="6" t="n">
        <f aca="false">SUMPRODUCT(X234:AA234,$E$237:$H$237)</f>
        <v>6.06944347782147E-005</v>
      </c>
      <c r="AE234" s="24" t="n">
        <f aca="false">(AD234-$I$2)/SQRT(AC234)</f>
        <v>-0.0203532246703822</v>
      </c>
      <c r="AF234" s="6" t="n">
        <f aca="false">AD234</f>
        <v>6.06944347782147E-005</v>
      </c>
      <c r="AG234" s="6" t="n">
        <f aca="false">AC234</f>
        <v>0.000299851887447669</v>
      </c>
      <c r="AH234" s="23" t="n">
        <f aca="false">X234</f>
        <v>0.436619718309859</v>
      </c>
      <c r="AI234" s="23" t="n">
        <f aca="false">Y234</f>
        <v>0.328638497652582</v>
      </c>
      <c r="AJ234" s="23" t="n">
        <f aca="false">Z234</f>
        <v>0.0422535211267606</v>
      </c>
      <c r="AK234" s="23" t="n">
        <f aca="false">AA234</f>
        <v>0.192488262910798</v>
      </c>
    </row>
    <row r="235" customFormat="false" ht="15" hidden="false" customHeight="true" outlineLevel="0" collapsed="false">
      <c r="A235" s="22" t="n">
        <f aca="false">aci!H236</f>
        <v>157</v>
      </c>
      <c r="B235" s="22" t="n">
        <f aca="false">apexfoot!H236</f>
        <v>245.4</v>
      </c>
      <c r="C235" s="22" t="n">
        <f aca="false">bxpharma!H236</f>
        <v>119.6</v>
      </c>
      <c r="D235" s="22" t="n">
        <f aca="false">batbc!H236</f>
        <v>408.3</v>
      </c>
      <c r="E235" s="6" t="n">
        <f aca="false">LN(A234/A235)</f>
        <v>-0.02515450268467</v>
      </c>
      <c r="F235" s="6" t="n">
        <f aca="false">LN(B234/B235)</f>
        <v>-0.00777258975416665</v>
      </c>
      <c r="G235" s="6" t="n">
        <f aca="false">LN(C234/C235)</f>
        <v>-0.0109290705321902</v>
      </c>
      <c r="H235" s="6" t="n">
        <f aca="false">LN(D234/D235)</f>
        <v>-0.0217884331192007</v>
      </c>
      <c r="I235" s="6" t="n">
        <f aca="false">E235-$I$2</f>
        <v>-0.0255676382778903</v>
      </c>
      <c r="J235" s="6" t="n">
        <f aca="false">F235-$J$2</f>
        <v>-0.00818572534738698</v>
      </c>
      <c r="K235" s="6" t="n">
        <f aca="false">G235-$K$2</f>
        <v>-0.0113422061254105</v>
      </c>
      <c r="L235" s="6" t="n">
        <f aca="false">H235-$L$2</f>
        <v>-0.022201568712421</v>
      </c>
      <c r="S235" s="9" t="n">
        <v>0.63</v>
      </c>
      <c r="T235" s="9" t="n">
        <v>0.96</v>
      </c>
      <c r="U235" s="9" t="n">
        <v>0.41</v>
      </c>
      <c r="V235" s="9" t="n">
        <v>0.03</v>
      </c>
      <c r="W235" s="22" t="n">
        <f aca="false">SUM(S235:V235)</f>
        <v>2.03</v>
      </c>
      <c r="X235" s="23" t="n">
        <f aca="false">S235/$W235</f>
        <v>0.310344827586207</v>
      </c>
      <c r="Y235" s="23" t="n">
        <f aca="false">T235/$W235</f>
        <v>0.472906403940887</v>
      </c>
      <c r="Z235" s="23" t="n">
        <f aca="false">U235/$W235</f>
        <v>0.201970443349754</v>
      </c>
      <c r="AA235" s="23" t="n">
        <f aca="false">V235/$W235</f>
        <v>0.0147783251231527</v>
      </c>
      <c r="AB235" s="23" t="n">
        <f aca="false">SUM(X235:AA235)</f>
        <v>1</v>
      </c>
      <c r="AC235" s="6" t="n">
        <f aca="false" t="array" ref="AC235:AC235">MMULT(MMULT(X235:AA235,$N$2:$Q$5),TRANSPOSE(X235:AA235))</f>
        <v>0.000246741053538961</v>
      </c>
      <c r="AD235" s="6" t="n">
        <f aca="false">SUMPRODUCT(X235:AA235,$E$237:$H$237)</f>
        <v>-5.95470061275625E-005</v>
      </c>
      <c r="AE235" s="24" t="n">
        <f aca="false">(AD235-$I$2)/SQRT(AC235)</f>
        <v>-0.0300918513457022</v>
      </c>
      <c r="AF235" s="6" t="n">
        <f aca="false">AD235</f>
        <v>-5.95470061275625E-005</v>
      </c>
      <c r="AG235" s="6" t="n">
        <f aca="false">AC235</f>
        <v>0.000246741053538961</v>
      </c>
      <c r="AH235" s="23" t="n">
        <f aca="false">X235</f>
        <v>0.310344827586207</v>
      </c>
      <c r="AI235" s="23" t="n">
        <f aca="false">Y235</f>
        <v>0.472906403940887</v>
      </c>
      <c r="AJ235" s="23" t="n">
        <f aca="false">Z235</f>
        <v>0.201970443349754</v>
      </c>
      <c r="AK235" s="23" t="n">
        <f aca="false">AA235</f>
        <v>0.0147783251231527</v>
      </c>
    </row>
    <row r="236" customFormat="false" ht="15" hidden="false" customHeight="true" outlineLevel="0" collapsed="false">
      <c r="A236" s="22" t="n">
        <f aca="false">aci!H237</f>
        <v>155.2</v>
      </c>
      <c r="B236" s="22" t="n">
        <f aca="false">apexfoot!H237</f>
        <v>248.8</v>
      </c>
      <c r="C236" s="22" t="n">
        <f aca="false">bxpharma!H237</f>
        <v>120</v>
      </c>
      <c r="D236" s="22" t="n">
        <f aca="false">batbc!H237</f>
        <v>405.6</v>
      </c>
      <c r="E236" s="6" t="n">
        <f aca="false">LN(A235/A236)</f>
        <v>0.0115311975991899</v>
      </c>
      <c r="F236" s="6" t="n">
        <f aca="false">LN(B235/B236)</f>
        <v>-0.0137598285882133</v>
      </c>
      <c r="G236" s="6" t="n">
        <f aca="false">LN(C235/C236)</f>
        <v>-0.00333890126551471</v>
      </c>
      <c r="H236" s="6" t="n">
        <f aca="false">LN(D235/D236)</f>
        <v>0.00663474604855673</v>
      </c>
      <c r="I236" s="6" t="n">
        <f aca="false">E236-$I$2</f>
        <v>0.0111180620059695</v>
      </c>
      <c r="J236" s="6" t="n">
        <f aca="false">F236-$J$2</f>
        <v>-0.0141729641814337</v>
      </c>
      <c r="K236" s="6" t="n">
        <f aca="false">G236-$K$2</f>
        <v>-0.00375203685873505</v>
      </c>
      <c r="L236" s="6" t="n">
        <f aca="false">H236-$L$2</f>
        <v>0.00622161045533639</v>
      </c>
    </row>
    <row r="237" customFormat="false" ht="15" hidden="false" customHeight="true" outlineLevel="0" collapsed="false">
      <c r="D237" s="25" t="s">
        <v>61</v>
      </c>
      <c r="E237" s="6" t="n">
        <f aca="false">AVERAGE(E3:E236)</f>
        <v>0.00109870362415887</v>
      </c>
      <c r="F237" s="6" t="n">
        <f aca="false">AVERAGE(F3:F236)</f>
        <v>-0.000643903187363985</v>
      </c>
      <c r="G237" s="6" t="n">
        <f aca="false">AVERAGE(G3:G236)</f>
        <v>-0.000403037091757443</v>
      </c>
      <c r="H237" s="6" t="n">
        <f aca="false">AVERAGE(H3:H236)</f>
        <v>-0.000989047938968762</v>
      </c>
    </row>
  </sheetData>
  <mergeCells count="26">
    <mergeCell ref="AM18:AT18"/>
    <mergeCell ref="AM19:AT19"/>
    <mergeCell ref="AM20:AT20"/>
    <mergeCell ref="AM21:AT21"/>
    <mergeCell ref="AM22:AT22"/>
    <mergeCell ref="AM23:AT23"/>
    <mergeCell ref="AM24:AT24"/>
    <mergeCell ref="AM25:AT25"/>
    <mergeCell ref="AM26:AT26"/>
    <mergeCell ref="AM27:AT27"/>
    <mergeCell ref="AM28:AT28"/>
    <mergeCell ref="AM29:AT29"/>
    <mergeCell ref="AM30:AT30"/>
    <mergeCell ref="AM31:AT31"/>
    <mergeCell ref="AM32:AT32"/>
    <mergeCell ref="AM33:AT33"/>
    <mergeCell ref="AM34:AT34"/>
    <mergeCell ref="AM35:AT35"/>
    <mergeCell ref="AM36:AT36"/>
    <mergeCell ref="AM37:AT37"/>
    <mergeCell ref="AM38:AT38"/>
    <mergeCell ref="AM39:AT39"/>
    <mergeCell ref="AM40:AT40"/>
    <mergeCell ref="AM41:AT41"/>
    <mergeCell ref="AM42:AT42"/>
    <mergeCell ref="AM43:AT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12" min="3" style="1" width="11"/>
    <col collapsed="false" customWidth="true" hidden="false" outlineLevel="0" max="14" min="14" style="1" width="14"/>
  </cols>
  <sheetData>
    <row r="1" customFormat="false" ht="15" hidden="false" customHeight="true" outlineLevel="0" collapsed="false">
      <c r="A1" s="26" t="s">
        <v>62</v>
      </c>
      <c r="B1" s="26" t="s">
        <v>63</v>
      </c>
      <c r="C1" s="26" t="s">
        <v>64</v>
      </c>
      <c r="D1" s="26" t="s">
        <v>65</v>
      </c>
      <c r="E1" s="26" t="s">
        <v>66</v>
      </c>
      <c r="F1" s="26" t="s">
        <v>67</v>
      </c>
      <c r="G1" s="26" t="s">
        <v>68</v>
      </c>
      <c r="H1" s="26" t="s">
        <v>69</v>
      </c>
      <c r="I1" s="26" t="s">
        <v>70</v>
      </c>
      <c r="J1" s="26" t="s">
        <v>71</v>
      </c>
      <c r="K1" s="26" t="s">
        <v>72</v>
      </c>
      <c r="L1" s="26" t="s">
        <v>73</v>
      </c>
      <c r="N1" s="19" t="s">
        <v>74</v>
      </c>
    </row>
    <row r="2" customFormat="false" ht="30" hidden="false" customHeight="true" outlineLevel="0" collapsed="false">
      <c r="N2" s="27" t="s">
        <v>75</v>
      </c>
      <c r="O2" s="27"/>
      <c r="P2" s="27"/>
      <c r="Q2" s="27"/>
      <c r="R2" s="27"/>
      <c r="S2" s="27"/>
      <c r="T2" s="27"/>
    </row>
    <row r="3" customFormat="false" ht="15" hidden="false" customHeight="true" outlineLevel="0" collapsed="false">
      <c r="A3" s="8" t="n">
        <v>1</v>
      </c>
      <c r="B3" s="28" t="n">
        <v>45755</v>
      </c>
      <c r="C3" s="8" t="s">
        <v>0</v>
      </c>
      <c r="D3" s="5" t="n">
        <v>200.7</v>
      </c>
      <c r="E3" s="5" t="n">
        <v>204.9</v>
      </c>
      <c r="F3" s="5" t="n">
        <v>199.1</v>
      </c>
      <c r="G3" s="5" t="n">
        <v>201.8</v>
      </c>
      <c r="H3" s="5" t="n">
        <v>200.7</v>
      </c>
      <c r="I3" s="5" t="n">
        <v>201.9</v>
      </c>
      <c r="K3" s="29" t="n">
        <v>78.805</v>
      </c>
      <c r="L3" s="30" t="n">
        <v>392652</v>
      </c>
    </row>
    <row r="4" customFormat="false" ht="15" hidden="false" customHeight="true" outlineLevel="0" collapsed="false">
      <c r="A4" s="8" t="n">
        <v>2</v>
      </c>
      <c r="B4" s="28" t="n">
        <v>45754</v>
      </c>
      <c r="C4" s="8" t="s">
        <v>0</v>
      </c>
      <c r="D4" s="5" t="n">
        <v>201.9</v>
      </c>
      <c r="E4" s="5" t="n">
        <v>207.8</v>
      </c>
      <c r="F4" s="5" t="n">
        <v>198.9</v>
      </c>
      <c r="G4" s="5" t="n">
        <v>199.4</v>
      </c>
      <c r="H4" s="5" t="n">
        <v>201.9</v>
      </c>
      <c r="I4" s="5" t="n">
        <v>197.5</v>
      </c>
      <c r="K4" s="29" t="n">
        <v>144.459</v>
      </c>
      <c r="L4" s="30" t="n">
        <v>715499</v>
      </c>
    </row>
    <row r="5" customFormat="false" ht="15" hidden="false" customHeight="true" outlineLevel="0" collapsed="false">
      <c r="A5" s="8" t="n">
        <v>3</v>
      </c>
      <c r="B5" s="28" t="n">
        <v>45753</v>
      </c>
      <c r="C5" s="8" t="s">
        <v>0</v>
      </c>
      <c r="D5" s="5" t="n">
        <v>197.5</v>
      </c>
      <c r="E5" s="5" t="n">
        <v>199</v>
      </c>
      <c r="F5" s="5" t="n">
        <v>180.1</v>
      </c>
      <c r="G5" s="5" t="n">
        <v>180.1</v>
      </c>
      <c r="H5" s="5" t="n">
        <v>197.5</v>
      </c>
      <c r="I5" s="5" t="n">
        <v>183.9</v>
      </c>
      <c r="K5" s="29" t="n">
        <v>51.276</v>
      </c>
      <c r="L5" s="30" t="n">
        <v>259623</v>
      </c>
    </row>
    <row r="6" customFormat="false" ht="15" hidden="false" customHeight="true" outlineLevel="0" collapsed="false">
      <c r="A6" s="8" t="n">
        <v>4</v>
      </c>
      <c r="B6" s="28" t="n">
        <v>45743</v>
      </c>
      <c r="C6" s="8" t="s">
        <v>0</v>
      </c>
      <c r="D6" s="5" t="n">
        <v>183.9</v>
      </c>
      <c r="E6" s="5" t="n">
        <v>185</v>
      </c>
      <c r="F6" s="5" t="n">
        <v>179.4</v>
      </c>
      <c r="G6" s="5" t="n">
        <v>181.9</v>
      </c>
      <c r="H6" s="5" t="n">
        <v>183.9</v>
      </c>
      <c r="I6" s="5" t="n">
        <v>181.2</v>
      </c>
      <c r="K6" s="29" t="n">
        <v>29.477</v>
      </c>
      <c r="L6" s="30" t="n">
        <v>160287</v>
      </c>
    </row>
    <row r="7" customFormat="false" ht="15" hidden="false" customHeight="true" outlineLevel="0" collapsed="false">
      <c r="A7" s="8" t="n">
        <v>5</v>
      </c>
      <c r="B7" s="28" t="n">
        <v>45741</v>
      </c>
      <c r="C7" s="8" t="s">
        <v>0</v>
      </c>
      <c r="D7" s="5" t="n">
        <v>181.2</v>
      </c>
      <c r="E7" s="5" t="n">
        <v>182.3</v>
      </c>
      <c r="F7" s="5" t="n">
        <v>179</v>
      </c>
      <c r="G7" s="5" t="n">
        <v>180</v>
      </c>
      <c r="H7" s="5" t="n">
        <v>181.2</v>
      </c>
      <c r="I7" s="5" t="n">
        <v>179.9</v>
      </c>
      <c r="K7" s="29" t="n">
        <v>28.197</v>
      </c>
      <c r="L7" s="30" t="n">
        <v>155612</v>
      </c>
    </row>
    <row r="8" customFormat="false" ht="15" hidden="false" customHeight="true" outlineLevel="0" collapsed="false">
      <c r="A8" s="8" t="n">
        <v>6</v>
      </c>
      <c r="B8" s="28" t="n">
        <v>45740</v>
      </c>
      <c r="C8" s="8" t="s">
        <v>0</v>
      </c>
      <c r="D8" s="5" t="n">
        <v>179.9</v>
      </c>
      <c r="E8" s="5" t="n">
        <v>182</v>
      </c>
      <c r="F8" s="5" t="n">
        <v>178.1</v>
      </c>
      <c r="G8" s="5" t="n">
        <v>178.3</v>
      </c>
      <c r="H8" s="5" t="n">
        <v>179.9</v>
      </c>
      <c r="I8" s="5" t="n">
        <v>178.3</v>
      </c>
      <c r="K8" s="29" t="n">
        <v>31.893</v>
      </c>
      <c r="L8" s="30" t="n">
        <v>177280</v>
      </c>
    </row>
    <row r="9" customFormat="false" ht="15" hidden="false" customHeight="true" outlineLevel="0" collapsed="false">
      <c r="A9" s="8" t="n">
        <v>7</v>
      </c>
      <c r="B9" s="28" t="n">
        <v>45739</v>
      </c>
      <c r="C9" s="8" t="s">
        <v>0</v>
      </c>
      <c r="D9" s="5" t="n">
        <v>178.3</v>
      </c>
      <c r="E9" s="5" t="n">
        <v>179.5</v>
      </c>
      <c r="F9" s="5" t="n">
        <v>173.1</v>
      </c>
      <c r="G9" s="5" t="n">
        <v>173.8</v>
      </c>
      <c r="H9" s="5" t="n">
        <v>178.3</v>
      </c>
      <c r="I9" s="5" t="n">
        <v>173.8</v>
      </c>
      <c r="K9" s="29" t="n">
        <v>30.603</v>
      </c>
      <c r="L9" s="30" t="n">
        <v>171638</v>
      </c>
    </row>
    <row r="10" customFormat="false" ht="15" hidden="false" customHeight="true" outlineLevel="0" collapsed="false">
      <c r="A10" s="8" t="n">
        <v>8</v>
      </c>
      <c r="B10" s="28" t="n">
        <v>45736</v>
      </c>
      <c r="C10" s="8" t="s">
        <v>0</v>
      </c>
      <c r="D10" s="5" t="n">
        <v>173.8</v>
      </c>
      <c r="E10" s="5" t="n">
        <v>174.1</v>
      </c>
      <c r="F10" s="5" t="n">
        <v>170.7</v>
      </c>
      <c r="G10" s="5" t="n">
        <v>170.7</v>
      </c>
      <c r="H10" s="5" t="n">
        <v>173.8</v>
      </c>
      <c r="I10" s="5" t="n">
        <v>170.7</v>
      </c>
      <c r="K10" s="29" t="n">
        <v>21.037</v>
      </c>
      <c r="L10" s="30" t="n">
        <v>121041</v>
      </c>
    </row>
    <row r="11" customFormat="false" ht="15" hidden="false" customHeight="true" outlineLevel="0" collapsed="false">
      <c r="A11" s="8" t="n">
        <v>9</v>
      </c>
      <c r="B11" s="28" t="n">
        <v>45735</v>
      </c>
      <c r="C11" s="8" t="s">
        <v>0</v>
      </c>
      <c r="D11" s="5" t="n">
        <v>170.7</v>
      </c>
      <c r="E11" s="5" t="n">
        <v>174.9</v>
      </c>
      <c r="F11" s="5" t="n">
        <v>167.7</v>
      </c>
      <c r="G11" s="5" t="n">
        <v>169</v>
      </c>
      <c r="H11" s="5" t="n">
        <v>170.7</v>
      </c>
      <c r="I11" s="5" t="n">
        <v>168.3</v>
      </c>
      <c r="K11" s="29" t="n">
        <v>16.354</v>
      </c>
      <c r="L11" s="30" t="n">
        <v>95807</v>
      </c>
    </row>
    <row r="12" customFormat="false" ht="15" hidden="false" customHeight="true" outlineLevel="0" collapsed="false">
      <c r="A12" s="8" t="n">
        <v>10</v>
      </c>
      <c r="B12" s="28" t="n">
        <v>45734</v>
      </c>
      <c r="C12" s="8" t="s">
        <v>0</v>
      </c>
      <c r="D12" s="5" t="n">
        <v>168.3</v>
      </c>
      <c r="E12" s="5" t="n">
        <v>168.9</v>
      </c>
      <c r="F12" s="5" t="n">
        <v>165.3</v>
      </c>
      <c r="G12" s="5" t="n">
        <v>165.3</v>
      </c>
      <c r="H12" s="5" t="n">
        <v>168.3</v>
      </c>
      <c r="I12" s="5" t="n">
        <v>166.7</v>
      </c>
      <c r="K12" s="29" t="n">
        <v>6.129</v>
      </c>
      <c r="L12" s="30" t="n">
        <v>36418</v>
      </c>
    </row>
    <row r="13" customFormat="false" ht="15" hidden="false" customHeight="true" outlineLevel="0" collapsed="false">
      <c r="A13" s="8" t="n">
        <v>11</v>
      </c>
      <c r="B13" s="28" t="n">
        <v>45733</v>
      </c>
      <c r="C13" s="8" t="s">
        <v>0</v>
      </c>
      <c r="D13" s="5" t="n">
        <v>166.7</v>
      </c>
      <c r="E13" s="5" t="n">
        <v>168.5</v>
      </c>
      <c r="F13" s="5" t="n">
        <v>165.5</v>
      </c>
      <c r="G13" s="5" t="n">
        <v>165.6</v>
      </c>
      <c r="H13" s="5" t="n">
        <v>166.7</v>
      </c>
      <c r="I13" s="5" t="n">
        <v>168.2</v>
      </c>
      <c r="K13" s="29" t="n">
        <v>5.286</v>
      </c>
      <c r="L13" s="30" t="n">
        <v>31710</v>
      </c>
    </row>
    <row r="14" customFormat="false" ht="15" hidden="false" customHeight="true" outlineLevel="0" collapsed="false">
      <c r="A14" s="8" t="n">
        <v>12</v>
      </c>
      <c r="B14" s="28" t="n">
        <v>45732</v>
      </c>
      <c r="C14" s="8" t="s">
        <v>0</v>
      </c>
      <c r="D14" s="5" t="n">
        <v>168.2</v>
      </c>
      <c r="E14" s="5" t="n">
        <v>169</v>
      </c>
      <c r="F14" s="5" t="n">
        <v>165</v>
      </c>
      <c r="G14" s="5" t="n">
        <v>166.8</v>
      </c>
      <c r="H14" s="5" t="n">
        <v>168.2</v>
      </c>
      <c r="I14" s="5" t="n">
        <v>167</v>
      </c>
      <c r="K14" s="29" t="n">
        <v>6.29</v>
      </c>
      <c r="L14" s="30" t="n">
        <v>37393</v>
      </c>
    </row>
    <row r="15" customFormat="false" ht="15" hidden="false" customHeight="true" outlineLevel="0" collapsed="false">
      <c r="A15" s="8" t="n">
        <v>13</v>
      </c>
      <c r="B15" s="28" t="n">
        <v>45729</v>
      </c>
      <c r="C15" s="8" t="s">
        <v>0</v>
      </c>
      <c r="D15" s="5" t="n">
        <v>167</v>
      </c>
      <c r="E15" s="5" t="n">
        <v>167.4</v>
      </c>
      <c r="F15" s="5" t="n">
        <v>164.7</v>
      </c>
      <c r="G15" s="5" t="n">
        <v>167</v>
      </c>
      <c r="H15" s="5" t="n">
        <v>167</v>
      </c>
      <c r="I15" s="5" t="n">
        <v>167.3</v>
      </c>
      <c r="K15" s="29" t="n">
        <v>5.378</v>
      </c>
      <c r="L15" s="30" t="n">
        <v>32201</v>
      </c>
    </row>
    <row r="16" customFormat="false" ht="15" hidden="false" customHeight="true" outlineLevel="0" collapsed="false">
      <c r="A16" s="8" t="n">
        <v>14</v>
      </c>
      <c r="B16" s="28" t="n">
        <v>45728</v>
      </c>
      <c r="C16" s="8" t="s">
        <v>0</v>
      </c>
      <c r="D16" s="5" t="n">
        <v>167.3</v>
      </c>
      <c r="E16" s="5" t="n">
        <v>168.3</v>
      </c>
      <c r="F16" s="5" t="n">
        <v>161.1</v>
      </c>
      <c r="G16" s="5" t="n">
        <v>163.2</v>
      </c>
      <c r="H16" s="5" t="n">
        <v>167.3</v>
      </c>
      <c r="I16" s="5" t="n">
        <v>163.2</v>
      </c>
      <c r="K16" s="29" t="n">
        <v>5.445</v>
      </c>
      <c r="L16" s="30" t="n">
        <v>32546</v>
      </c>
    </row>
    <row r="17" customFormat="false" ht="15" hidden="false" customHeight="true" outlineLevel="0" collapsed="false">
      <c r="A17" s="8" t="n">
        <v>15</v>
      </c>
      <c r="B17" s="28" t="n">
        <v>45727</v>
      </c>
      <c r="C17" s="8" t="s">
        <v>0</v>
      </c>
      <c r="D17" s="5" t="n">
        <v>163.2</v>
      </c>
      <c r="E17" s="5" t="n">
        <v>170.9</v>
      </c>
      <c r="F17" s="5" t="n">
        <v>160</v>
      </c>
      <c r="G17" s="5" t="n">
        <v>167.3</v>
      </c>
      <c r="H17" s="5" t="n">
        <v>163.2</v>
      </c>
      <c r="I17" s="5" t="n">
        <v>167.9</v>
      </c>
      <c r="K17" s="29" t="n">
        <v>11.672</v>
      </c>
      <c r="L17" s="30" t="n">
        <v>71519</v>
      </c>
    </row>
    <row r="18" customFormat="false" ht="15" hidden="false" customHeight="true" outlineLevel="0" collapsed="false">
      <c r="A18" s="8" t="n">
        <v>16</v>
      </c>
      <c r="B18" s="28" t="n">
        <v>45726</v>
      </c>
      <c r="C18" s="8" t="s">
        <v>0</v>
      </c>
      <c r="D18" s="5" t="n">
        <v>167.9</v>
      </c>
      <c r="E18" s="5" t="n">
        <v>169</v>
      </c>
      <c r="F18" s="5" t="n">
        <v>164</v>
      </c>
      <c r="G18" s="5" t="n">
        <v>164.1</v>
      </c>
      <c r="H18" s="5" t="n">
        <v>167.9</v>
      </c>
      <c r="I18" s="5" t="n">
        <v>164.1</v>
      </c>
      <c r="K18" s="29" t="n">
        <v>8.239</v>
      </c>
      <c r="L18" s="30" t="n">
        <v>49072</v>
      </c>
    </row>
    <row r="19" customFormat="false" ht="15" hidden="false" customHeight="true" outlineLevel="0" collapsed="false">
      <c r="A19" s="8" t="n">
        <v>17</v>
      </c>
      <c r="B19" s="28" t="n">
        <v>45725</v>
      </c>
      <c r="C19" s="8" t="s">
        <v>0</v>
      </c>
      <c r="D19" s="5" t="n">
        <v>164.1</v>
      </c>
      <c r="E19" s="5" t="n">
        <v>172.8</v>
      </c>
      <c r="F19" s="5" t="n">
        <v>164</v>
      </c>
      <c r="G19" s="5" t="n">
        <v>172.8</v>
      </c>
      <c r="H19" s="5" t="n">
        <v>164.1</v>
      </c>
      <c r="I19" s="5" t="n">
        <v>165.5</v>
      </c>
      <c r="K19" s="29" t="n">
        <v>5.529</v>
      </c>
      <c r="L19" s="30" t="n">
        <v>33693</v>
      </c>
    </row>
    <row r="20" customFormat="false" ht="15" hidden="false" customHeight="true" outlineLevel="0" collapsed="false">
      <c r="A20" s="8" t="n">
        <v>18</v>
      </c>
      <c r="B20" s="28" t="n">
        <v>45722</v>
      </c>
      <c r="C20" s="8" t="s">
        <v>0</v>
      </c>
      <c r="D20" s="5" t="n">
        <v>165.5</v>
      </c>
      <c r="E20" s="5" t="n">
        <v>169</v>
      </c>
      <c r="F20" s="5" t="n">
        <v>165.2</v>
      </c>
      <c r="G20" s="5" t="n">
        <v>167</v>
      </c>
      <c r="H20" s="5" t="n">
        <v>165.5</v>
      </c>
      <c r="I20" s="5" t="n">
        <v>167.6</v>
      </c>
      <c r="K20" s="29" t="n">
        <v>2.64</v>
      </c>
      <c r="L20" s="30" t="n">
        <v>15952</v>
      </c>
    </row>
    <row r="21" customFormat="false" ht="15" hidden="false" customHeight="true" outlineLevel="0" collapsed="false">
      <c r="A21" s="8" t="n">
        <v>19</v>
      </c>
      <c r="B21" s="28" t="n">
        <v>45721</v>
      </c>
      <c r="C21" s="8" t="s">
        <v>0</v>
      </c>
      <c r="D21" s="5" t="n">
        <v>167.6</v>
      </c>
      <c r="E21" s="5" t="n">
        <v>168.4</v>
      </c>
      <c r="F21" s="5" t="n">
        <v>165</v>
      </c>
      <c r="G21" s="5" t="n">
        <v>168</v>
      </c>
      <c r="H21" s="5" t="n">
        <v>167.6</v>
      </c>
      <c r="I21" s="5" t="n">
        <v>166.4</v>
      </c>
      <c r="K21" s="29" t="n">
        <v>5.084</v>
      </c>
      <c r="L21" s="30" t="n">
        <v>30333</v>
      </c>
    </row>
    <row r="22" customFormat="false" ht="15" hidden="false" customHeight="true" outlineLevel="0" collapsed="false">
      <c r="A22" s="8" t="n">
        <v>20</v>
      </c>
      <c r="B22" s="28" t="n">
        <v>45720</v>
      </c>
      <c r="C22" s="8" t="s">
        <v>0</v>
      </c>
      <c r="D22" s="5" t="n">
        <v>166.4</v>
      </c>
      <c r="E22" s="5" t="n">
        <v>169.8</v>
      </c>
      <c r="F22" s="5" t="n">
        <v>166</v>
      </c>
      <c r="G22" s="5" t="n">
        <v>169.8</v>
      </c>
      <c r="H22" s="5" t="n">
        <v>166.4</v>
      </c>
      <c r="I22" s="5" t="n">
        <v>168.6</v>
      </c>
      <c r="K22" s="29" t="n">
        <v>8.028</v>
      </c>
      <c r="L22" s="30" t="n">
        <v>48243</v>
      </c>
    </row>
    <row r="23" customFormat="false" ht="15" hidden="false" customHeight="true" outlineLevel="0" collapsed="false">
      <c r="A23" s="8" t="n">
        <v>21</v>
      </c>
      <c r="B23" s="28" t="n">
        <v>45719</v>
      </c>
      <c r="C23" s="8" t="s">
        <v>0</v>
      </c>
      <c r="D23" s="5" t="n">
        <v>168.6</v>
      </c>
      <c r="E23" s="5" t="n">
        <v>174</v>
      </c>
      <c r="F23" s="5" t="n">
        <v>167</v>
      </c>
      <c r="G23" s="5" t="n">
        <v>167</v>
      </c>
      <c r="H23" s="5" t="n">
        <v>168.6</v>
      </c>
      <c r="I23" s="5" t="n">
        <v>169.6</v>
      </c>
      <c r="K23" s="29" t="n">
        <v>17.717</v>
      </c>
      <c r="L23" s="30" t="n">
        <v>105086</v>
      </c>
    </row>
    <row r="24" customFormat="false" ht="15" hidden="false" customHeight="true" outlineLevel="0" collapsed="false">
      <c r="A24" s="8" t="n">
        <v>22</v>
      </c>
      <c r="B24" s="28" t="n">
        <v>45718</v>
      </c>
      <c r="C24" s="8" t="s">
        <v>0</v>
      </c>
      <c r="D24" s="5" t="n">
        <v>169.6</v>
      </c>
      <c r="E24" s="5" t="n">
        <v>171.9</v>
      </c>
      <c r="F24" s="5" t="n">
        <v>159.7</v>
      </c>
      <c r="G24" s="5" t="n">
        <v>159.7</v>
      </c>
      <c r="H24" s="5" t="n">
        <v>169.6</v>
      </c>
      <c r="I24" s="5" t="n">
        <v>159.2</v>
      </c>
      <c r="K24" s="29" t="n">
        <v>32.489</v>
      </c>
      <c r="L24" s="30" t="n">
        <v>191564</v>
      </c>
    </row>
    <row r="25" customFormat="false" ht="15" hidden="false" customHeight="true" outlineLevel="0" collapsed="false">
      <c r="A25" s="8" t="n">
        <v>23</v>
      </c>
      <c r="B25" s="28" t="n">
        <v>45715</v>
      </c>
      <c r="C25" s="8" t="s">
        <v>0</v>
      </c>
      <c r="D25" s="5" t="n">
        <v>159.2</v>
      </c>
      <c r="E25" s="5" t="n">
        <v>159.5</v>
      </c>
      <c r="F25" s="5" t="n">
        <v>156.5</v>
      </c>
      <c r="G25" s="5" t="n">
        <v>156.5</v>
      </c>
      <c r="H25" s="5" t="n">
        <v>159.2</v>
      </c>
      <c r="I25" s="5" t="n">
        <v>156.2</v>
      </c>
      <c r="K25" s="29" t="n">
        <v>9.203</v>
      </c>
      <c r="L25" s="30" t="n">
        <v>57805</v>
      </c>
    </row>
    <row r="26" customFormat="false" ht="15" hidden="false" customHeight="true" outlineLevel="0" collapsed="false">
      <c r="A26" s="8" t="n">
        <v>24</v>
      </c>
      <c r="B26" s="28" t="n">
        <v>45714</v>
      </c>
      <c r="C26" s="8" t="s">
        <v>0</v>
      </c>
      <c r="D26" s="5" t="n">
        <v>156.2</v>
      </c>
      <c r="E26" s="5" t="n">
        <v>158.8</v>
      </c>
      <c r="F26" s="5" t="n">
        <v>155</v>
      </c>
      <c r="G26" s="5" t="n">
        <v>155</v>
      </c>
      <c r="H26" s="5" t="n">
        <v>156.2</v>
      </c>
      <c r="I26" s="5" t="n">
        <v>155.4</v>
      </c>
      <c r="K26" s="29" t="n">
        <v>10.794</v>
      </c>
      <c r="L26" s="30" t="n">
        <v>69104</v>
      </c>
    </row>
    <row r="27" customFormat="false" ht="15" hidden="false" customHeight="true" outlineLevel="0" collapsed="false">
      <c r="A27" s="8" t="n">
        <v>25</v>
      </c>
      <c r="B27" s="28" t="n">
        <v>45713</v>
      </c>
      <c r="C27" s="8" t="s">
        <v>0</v>
      </c>
      <c r="D27" s="5" t="n">
        <v>155.4</v>
      </c>
      <c r="E27" s="5" t="n">
        <v>156</v>
      </c>
      <c r="F27" s="5" t="n">
        <v>155</v>
      </c>
      <c r="G27" s="5" t="n">
        <v>155.7</v>
      </c>
      <c r="H27" s="5" t="n">
        <v>155.4</v>
      </c>
      <c r="I27" s="5" t="n">
        <v>155.2</v>
      </c>
      <c r="K27" s="29" t="n">
        <v>4.194</v>
      </c>
      <c r="L27" s="30" t="n">
        <v>26989</v>
      </c>
    </row>
    <row r="28" customFormat="false" ht="15" hidden="false" customHeight="true" outlineLevel="0" collapsed="false">
      <c r="A28" s="8" t="n">
        <v>26</v>
      </c>
      <c r="B28" s="28" t="n">
        <v>45712</v>
      </c>
      <c r="C28" s="8" t="s">
        <v>0</v>
      </c>
      <c r="D28" s="5" t="n">
        <v>155.2</v>
      </c>
      <c r="E28" s="5" t="n">
        <v>155.9</v>
      </c>
      <c r="F28" s="5" t="n">
        <v>153.1</v>
      </c>
      <c r="G28" s="5" t="n">
        <v>153.1</v>
      </c>
      <c r="H28" s="5" t="n">
        <v>155.2</v>
      </c>
      <c r="I28" s="5" t="n">
        <v>153.1</v>
      </c>
      <c r="K28" s="29" t="n">
        <v>10.553</v>
      </c>
      <c r="L28" s="30" t="n">
        <v>67993</v>
      </c>
    </row>
    <row r="29" customFormat="false" ht="15" hidden="false" customHeight="true" outlineLevel="0" collapsed="false">
      <c r="A29" s="8" t="n">
        <v>27</v>
      </c>
      <c r="B29" s="28" t="n">
        <v>45711</v>
      </c>
      <c r="C29" s="8" t="s">
        <v>0</v>
      </c>
      <c r="D29" s="5" t="n">
        <v>153.1</v>
      </c>
      <c r="E29" s="5" t="n">
        <v>153.3</v>
      </c>
      <c r="F29" s="5" t="n">
        <v>151.9</v>
      </c>
      <c r="G29" s="5" t="n">
        <v>151.9</v>
      </c>
      <c r="H29" s="5" t="n">
        <v>153.1</v>
      </c>
      <c r="I29" s="5" t="n">
        <v>151.9</v>
      </c>
      <c r="K29" s="29" t="n">
        <v>4.717</v>
      </c>
      <c r="L29" s="30" t="n">
        <v>30812</v>
      </c>
    </row>
    <row r="30" customFormat="false" ht="15" hidden="false" customHeight="true" outlineLevel="0" collapsed="false">
      <c r="A30" s="8" t="n">
        <v>28</v>
      </c>
      <c r="B30" s="28" t="n">
        <v>45708</v>
      </c>
      <c r="C30" s="8" t="s">
        <v>0</v>
      </c>
      <c r="D30" s="5" t="n">
        <v>151.9</v>
      </c>
      <c r="E30" s="5" t="n">
        <v>153</v>
      </c>
      <c r="F30" s="5" t="n">
        <v>150.5</v>
      </c>
      <c r="G30" s="5" t="n">
        <v>150.5</v>
      </c>
      <c r="H30" s="5" t="n">
        <v>151.9</v>
      </c>
      <c r="I30" s="5" t="n">
        <v>152.8</v>
      </c>
      <c r="K30" s="29" t="n">
        <v>7.417</v>
      </c>
      <c r="L30" s="30" t="n">
        <v>48829</v>
      </c>
    </row>
    <row r="31" customFormat="false" ht="15" hidden="false" customHeight="true" outlineLevel="0" collapsed="false">
      <c r="A31" s="8" t="n">
        <v>29</v>
      </c>
      <c r="B31" s="28" t="n">
        <v>45707</v>
      </c>
      <c r="C31" s="8" t="s">
        <v>0</v>
      </c>
      <c r="D31" s="5" t="n">
        <v>152.8</v>
      </c>
      <c r="E31" s="5" t="n">
        <v>153.8</v>
      </c>
      <c r="F31" s="5" t="n">
        <v>152</v>
      </c>
      <c r="G31" s="5" t="n">
        <v>152.1</v>
      </c>
      <c r="H31" s="5" t="n">
        <v>152.8</v>
      </c>
      <c r="I31" s="5" t="n">
        <v>152.9</v>
      </c>
      <c r="K31" s="29" t="n">
        <v>7.677</v>
      </c>
      <c r="L31" s="30" t="n">
        <v>50239</v>
      </c>
    </row>
    <row r="32" customFormat="false" ht="15" hidden="false" customHeight="true" outlineLevel="0" collapsed="false">
      <c r="A32" s="8" t="n">
        <v>30</v>
      </c>
      <c r="B32" s="28" t="n">
        <v>45706</v>
      </c>
      <c r="C32" s="8" t="s">
        <v>0</v>
      </c>
      <c r="D32" s="5" t="n">
        <v>152.9</v>
      </c>
      <c r="E32" s="5" t="n">
        <v>153.8</v>
      </c>
      <c r="F32" s="5" t="n">
        <v>152.9</v>
      </c>
      <c r="G32" s="5" t="n">
        <v>153.1</v>
      </c>
      <c r="H32" s="5" t="n">
        <v>152.9</v>
      </c>
      <c r="I32" s="5" t="n">
        <v>153</v>
      </c>
      <c r="K32" s="29" t="n">
        <v>8.219</v>
      </c>
      <c r="L32" s="30" t="n">
        <v>53752</v>
      </c>
    </row>
    <row r="33" customFormat="false" ht="15" hidden="false" customHeight="true" outlineLevel="0" collapsed="false">
      <c r="A33" s="8" t="n">
        <v>31</v>
      </c>
      <c r="B33" s="28" t="n">
        <v>45705</v>
      </c>
      <c r="C33" s="8" t="s">
        <v>0</v>
      </c>
      <c r="D33" s="5" t="n">
        <v>153</v>
      </c>
      <c r="E33" s="5" t="n">
        <v>153</v>
      </c>
      <c r="F33" s="5" t="n">
        <v>151.2</v>
      </c>
      <c r="G33" s="5" t="n">
        <v>151.2</v>
      </c>
      <c r="H33" s="5" t="n">
        <v>153</v>
      </c>
      <c r="I33" s="5" t="n">
        <v>152.6</v>
      </c>
      <c r="K33" s="29" t="n">
        <v>7.603</v>
      </c>
      <c r="L33" s="30" t="n">
        <v>49694</v>
      </c>
    </row>
    <row r="34" customFormat="false" ht="15" hidden="false" customHeight="true" outlineLevel="0" collapsed="false">
      <c r="A34" s="8" t="n">
        <v>32</v>
      </c>
      <c r="B34" s="28" t="n">
        <v>45704</v>
      </c>
      <c r="C34" s="8" t="s">
        <v>0</v>
      </c>
      <c r="D34" s="5" t="n">
        <v>152.6</v>
      </c>
      <c r="E34" s="5" t="n">
        <v>153.3</v>
      </c>
      <c r="F34" s="5" t="n">
        <v>152</v>
      </c>
      <c r="G34" s="5" t="n">
        <v>152</v>
      </c>
      <c r="H34" s="5" t="n">
        <v>152.6</v>
      </c>
      <c r="I34" s="5" t="n">
        <v>153.3</v>
      </c>
      <c r="K34" s="29" t="n">
        <v>9.378</v>
      </c>
      <c r="L34" s="30" t="n">
        <v>61457</v>
      </c>
    </row>
    <row r="35" customFormat="false" ht="15" hidden="false" customHeight="true" outlineLevel="0" collapsed="false">
      <c r="A35" s="8" t="n">
        <v>33</v>
      </c>
      <c r="B35" s="28" t="n">
        <v>45701</v>
      </c>
      <c r="C35" s="8" t="s">
        <v>0</v>
      </c>
      <c r="D35" s="5" t="n">
        <v>153.3</v>
      </c>
      <c r="E35" s="5" t="n">
        <v>154</v>
      </c>
      <c r="F35" s="5" t="n">
        <v>152</v>
      </c>
      <c r="G35" s="5" t="n">
        <v>153.8</v>
      </c>
      <c r="H35" s="5" t="n">
        <v>153.3</v>
      </c>
      <c r="I35" s="5" t="n">
        <v>153.9</v>
      </c>
      <c r="K35" s="29" t="n">
        <v>11.249</v>
      </c>
      <c r="L35" s="30" t="n">
        <v>73378</v>
      </c>
    </row>
    <row r="36" customFormat="false" ht="15" hidden="false" customHeight="true" outlineLevel="0" collapsed="false">
      <c r="A36" s="8" t="n">
        <v>34</v>
      </c>
      <c r="B36" s="28" t="n">
        <v>45700</v>
      </c>
      <c r="C36" s="8" t="s">
        <v>0</v>
      </c>
      <c r="D36" s="5" t="n">
        <v>153.9</v>
      </c>
      <c r="E36" s="5" t="n">
        <v>154.7</v>
      </c>
      <c r="F36" s="5" t="n">
        <v>151.2</v>
      </c>
      <c r="G36" s="5" t="n">
        <v>153</v>
      </c>
      <c r="H36" s="5" t="n">
        <v>153.9</v>
      </c>
      <c r="I36" s="5" t="n">
        <v>153.4</v>
      </c>
      <c r="K36" s="29" t="n">
        <v>11.053</v>
      </c>
      <c r="L36" s="30" t="n">
        <v>71819</v>
      </c>
    </row>
    <row r="37" customFormat="false" ht="15" hidden="false" customHeight="true" outlineLevel="0" collapsed="false">
      <c r="A37" s="8" t="n">
        <v>35</v>
      </c>
      <c r="B37" s="28" t="n">
        <v>45699</v>
      </c>
      <c r="C37" s="8" t="s">
        <v>0</v>
      </c>
      <c r="D37" s="5" t="n">
        <v>153.4</v>
      </c>
      <c r="E37" s="5" t="n">
        <v>154.9</v>
      </c>
      <c r="F37" s="5" t="n">
        <v>151.8</v>
      </c>
      <c r="G37" s="5" t="n">
        <v>151.8</v>
      </c>
      <c r="H37" s="5" t="n">
        <v>153.4</v>
      </c>
      <c r="I37" s="5" t="n">
        <v>151.6</v>
      </c>
      <c r="K37" s="29" t="n">
        <v>16.619</v>
      </c>
      <c r="L37" s="30" t="n">
        <v>108335</v>
      </c>
    </row>
    <row r="38" customFormat="false" ht="15" hidden="false" customHeight="true" outlineLevel="0" collapsed="false">
      <c r="A38" s="8" t="n">
        <v>36</v>
      </c>
      <c r="B38" s="28" t="n">
        <v>45698</v>
      </c>
      <c r="C38" s="8" t="s">
        <v>0</v>
      </c>
      <c r="D38" s="5" t="n">
        <v>151.6</v>
      </c>
      <c r="E38" s="5" t="n">
        <v>153.4</v>
      </c>
      <c r="F38" s="5" t="n">
        <v>147.7</v>
      </c>
      <c r="G38" s="5" t="n">
        <v>147.7</v>
      </c>
      <c r="H38" s="5" t="n">
        <v>151.6</v>
      </c>
      <c r="I38" s="5" t="n">
        <v>149.7</v>
      </c>
      <c r="K38" s="29" t="n">
        <v>8.525</v>
      </c>
      <c r="L38" s="30" t="n">
        <v>56233</v>
      </c>
    </row>
    <row r="39" customFormat="false" ht="15" hidden="false" customHeight="true" outlineLevel="0" collapsed="false">
      <c r="A39" s="8" t="n">
        <v>37</v>
      </c>
      <c r="B39" s="28" t="n">
        <v>45697</v>
      </c>
      <c r="C39" s="8" t="s">
        <v>0</v>
      </c>
      <c r="D39" s="5" t="n">
        <v>149.7</v>
      </c>
      <c r="E39" s="5" t="n">
        <v>150</v>
      </c>
      <c r="F39" s="5" t="n">
        <v>147.1</v>
      </c>
      <c r="G39" s="5" t="n">
        <v>147.7</v>
      </c>
      <c r="H39" s="5" t="n">
        <v>149.7</v>
      </c>
      <c r="I39" s="5" t="n">
        <v>147.7</v>
      </c>
      <c r="K39" s="29" t="n">
        <v>10.44</v>
      </c>
      <c r="L39" s="30" t="n">
        <v>69739</v>
      </c>
    </row>
    <row r="40" customFormat="false" ht="15" hidden="false" customHeight="true" outlineLevel="0" collapsed="false">
      <c r="A40" s="8" t="n">
        <v>38</v>
      </c>
      <c r="B40" s="28" t="n">
        <v>45694</v>
      </c>
      <c r="C40" s="8" t="s">
        <v>0</v>
      </c>
      <c r="D40" s="5" t="n">
        <v>147.7</v>
      </c>
      <c r="E40" s="5" t="n">
        <v>148</v>
      </c>
      <c r="F40" s="5" t="n">
        <v>146.9</v>
      </c>
      <c r="G40" s="5" t="n">
        <v>147.2</v>
      </c>
      <c r="H40" s="5" t="n">
        <v>147.7</v>
      </c>
      <c r="I40" s="5" t="n">
        <v>147.2</v>
      </c>
      <c r="K40" s="29" t="n">
        <v>3.271</v>
      </c>
      <c r="L40" s="30" t="n">
        <v>22144</v>
      </c>
    </row>
    <row r="41" customFormat="false" ht="15" hidden="false" customHeight="true" outlineLevel="0" collapsed="false">
      <c r="A41" s="8" t="n">
        <v>39</v>
      </c>
      <c r="B41" s="28" t="n">
        <v>45693</v>
      </c>
      <c r="C41" s="8" t="s">
        <v>0</v>
      </c>
      <c r="D41" s="5" t="n">
        <v>147.2</v>
      </c>
      <c r="E41" s="5" t="n">
        <v>148.5</v>
      </c>
      <c r="F41" s="5" t="n">
        <v>146.4</v>
      </c>
      <c r="G41" s="5" t="n">
        <v>146.4</v>
      </c>
      <c r="H41" s="5" t="n">
        <v>147.2</v>
      </c>
      <c r="I41" s="5" t="n">
        <v>146.9</v>
      </c>
      <c r="K41" s="29" t="n">
        <v>6.619</v>
      </c>
      <c r="L41" s="30" t="n">
        <v>44966</v>
      </c>
    </row>
    <row r="42" customFormat="false" ht="15" hidden="false" customHeight="true" outlineLevel="0" collapsed="false">
      <c r="A42" s="8" t="n">
        <v>40</v>
      </c>
      <c r="B42" s="28" t="n">
        <v>45692</v>
      </c>
      <c r="C42" s="8" t="s">
        <v>0</v>
      </c>
      <c r="D42" s="5" t="n">
        <v>146.9</v>
      </c>
      <c r="E42" s="5" t="n">
        <v>147.9</v>
      </c>
      <c r="F42" s="5" t="n">
        <v>146.7</v>
      </c>
      <c r="G42" s="5" t="n">
        <v>147.5</v>
      </c>
      <c r="H42" s="5" t="n">
        <v>146.9</v>
      </c>
      <c r="I42" s="5" t="n">
        <v>147.4</v>
      </c>
      <c r="K42" s="29" t="n">
        <v>6.712</v>
      </c>
      <c r="L42" s="30" t="n">
        <v>45689</v>
      </c>
    </row>
    <row r="43" customFormat="false" ht="15" hidden="false" customHeight="true" outlineLevel="0" collapsed="false">
      <c r="A43" s="8" t="n">
        <v>41</v>
      </c>
      <c r="B43" s="28" t="n">
        <v>45691</v>
      </c>
      <c r="C43" s="8" t="s">
        <v>0</v>
      </c>
      <c r="D43" s="5" t="n">
        <v>147.4</v>
      </c>
      <c r="E43" s="5" t="n">
        <v>148.8</v>
      </c>
      <c r="F43" s="5" t="n">
        <v>146.6</v>
      </c>
      <c r="G43" s="5" t="n">
        <v>147</v>
      </c>
      <c r="H43" s="5" t="n">
        <v>147.4</v>
      </c>
      <c r="I43" s="5" t="n">
        <v>147.1</v>
      </c>
      <c r="K43" s="29" t="n">
        <v>7.964</v>
      </c>
      <c r="L43" s="30" t="n">
        <v>54032</v>
      </c>
    </row>
    <row r="44" customFormat="false" ht="15" hidden="false" customHeight="true" outlineLevel="0" collapsed="false">
      <c r="A44" s="8" t="n">
        <v>42</v>
      </c>
      <c r="B44" s="28" t="n">
        <v>45690</v>
      </c>
      <c r="C44" s="8" t="s">
        <v>0</v>
      </c>
      <c r="D44" s="5" t="n">
        <v>147.1</v>
      </c>
      <c r="E44" s="5" t="n">
        <v>150</v>
      </c>
      <c r="F44" s="5" t="n">
        <v>147</v>
      </c>
      <c r="G44" s="5" t="n">
        <v>149.1</v>
      </c>
      <c r="H44" s="5" t="n">
        <v>147.1</v>
      </c>
      <c r="I44" s="5" t="n">
        <v>149.4</v>
      </c>
      <c r="K44" s="29" t="n">
        <v>8.157</v>
      </c>
      <c r="L44" s="30" t="n">
        <v>55450</v>
      </c>
    </row>
    <row r="45" customFormat="false" ht="15" hidden="false" customHeight="true" outlineLevel="0" collapsed="false">
      <c r="A45" s="8" t="n">
        <v>43</v>
      </c>
      <c r="B45" s="28" t="n">
        <v>45687</v>
      </c>
      <c r="C45" s="8" t="s">
        <v>0</v>
      </c>
      <c r="D45" s="5" t="n">
        <v>149.4</v>
      </c>
      <c r="E45" s="5" t="n">
        <v>151</v>
      </c>
      <c r="F45" s="5" t="n">
        <v>149</v>
      </c>
      <c r="G45" s="5" t="n">
        <v>150</v>
      </c>
      <c r="H45" s="5" t="n">
        <v>149.4</v>
      </c>
      <c r="I45" s="5" t="n">
        <v>150.2</v>
      </c>
      <c r="K45" s="29" t="n">
        <v>7.89</v>
      </c>
      <c r="L45" s="30" t="n">
        <v>52812</v>
      </c>
    </row>
    <row r="46" customFormat="false" ht="15" hidden="false" customHeight="true" outlineLevel="0" collapsed="false">
      <c r="A46" s="8" t="n">
        <v>44</v>
      </c>
      <c r="B46" s="28" t="n">
        <v>45686</v>
      </c>
      <c r="C46" s="8" t="s">
        <v>0</v>
      </c>
      <c r="D46" s="5" t="n">
        <v>150.2</v>
      </c>
      <c r="E46" s="5" t="n">
        <v>150.5</v>
      </c>
      <c r="F46" s="5" t="n">
        <v>147.2</v>
      </c>
      <c r="G46" s="5" t="n">
        <v>147.5</v>
      </c>
      <c r="H46" s="5" t="n">
        <v>150.2</v>
      </c>
      <c r="I46" s="5" t="n">
        <v>147.8</v>
      </c>
      <c r="K46" s="29" t="n">
        <v>13.083</v>
      </c>
      <c r="L46" s="30" t="n">
        <v>87107</v>
      </c>
    </row>
    <row r="47" customFormat="false" ht="15" hidden="false" customHeight="true" outlineLevel="0" collapsed="false">
      <c r="A47" s="8" t="n">
        <v>45</v>
      </c>
      <c r="B47" s="28" t="n">
        <v>45685</v>
      </c>
      <c r="C47" s="8" t="s">
        <v>0</v>
      </c>
      <c r="D47" s="5" t="n">
        <v>147.8</v>
      </c>
      <c r="E47" s="5" t="n">
        <v>149.9</v>
      </c>
      <c r="F47" s="5" t="n">
        <v>147.3</v>
      </c>
      <c r="G47" s="5" t="n">
        <v>147.9</v>
      </c>
      <c r="H47" s="5" t="n">
        <v>147.8</v>
      </c>
      <c r="I47" s="5" t="n">
        <v>147.5</v>
      </c>
      <c r="K47" s="29" t="n">
        <v>6.484</v>
      </c>
      <c r="L47" s="30" t="n">
        <v>43870</v>
      </c>
    </row>
    <row r="48" customFormat="false" ht="15" hidden="false" customHeight="true" outlineLevel="0" collapsed="false">
      <c r="A48" s="8" t="n">
        <v>46</v>
      </c>
      <c r="B48" s="28" t="n">
        <v>45684</v>
      </c>
      <c r="C48" s="8" t="s">
        <v>0</v>
      </c>
      <c r="D48" s="5" t="n">
        <v>147.5</v>
      </c>
      <c r="E48" s="5" t="n">
        <v>150.4</v>
      </c>
      <c r="F48" s="5" t="n">
        <v>147</v>
      </c>
      <c r="G48" s="5" t="n">
        <v>149.7</v>
      </c>
      <c r="H48" s="5" t="n">
        <v>147.5</v>
      </c>
      <c r="I48" s="5" t="n">
        <v>147.6</v>
      </c>
      <c r="K48" s="29" t="n">
        <v>9.934</v>
      </c>
      <c r="L48" s="30" t="n">
        <v>67349</v>
      </c>
    </row>
    <row r="49" customFormat="false" ht="15" hidden="false" customHeight="true" outlineLevel="0" collapsed="false">
      <c r="A49" s="8" t="n">
        <v>47</v>
      </c>
      <c r="B49" s="28" t="n">
        <v>45683</v>
      </c>
      <c r="C49" s="8" t="s">
        <v>0</v>
      </c>
      <c r="D49" s="5" t="n">
        <v>147.6</v>
      </c>
      <c r="E49" s="5" t="n">
        <v>151</v>
      </c>
      <c r="F49" s="5" t="n">
        <v>147</v>
      </c>
      <c r="G49" s="5" t="n">
        <v>149.4</v>
      </c>
      <c r="H49" s="5" t="n">
        <v>147.6</v>
      </c>
      <c r="I49" s="5" t="n">
        <v>149.4</v>
      </c>
      <c r="K49" s="29" t="n">
        <v>6.53</v>
      </c>
      <c r="L49" s="30" t="n">
        <v>44243</v>
      </c>
    </row>
    <row r="50" customFormat="false" ht="15" hidden="false" customHeight="true" outlineLevel="0" collapsed="false">
      <c r="A50" s="8" t="n">
        <v>48</v>
      </c>
      <c r="B50" s="28" t="n">
        <v>45680</v>
      </c>
      <c r="C50" s="8" t="s">
        <v>0</v>
      </c>
      <c r="D50" s="5" t="n">
        <v>149.4</v>
      </c>
      <c r="E50" s="5" t="n">
        <v>150.2</v>
      </c>
      <c r="F50" s="5" t="n">
        <v>145</v>
      </c>
      <c r="G50" s="5" t="n">
        <v>145.2</v>
      </c>
      <c r="H50" s="5" t="n">
        <v>149.4</v>
      </c>
      <c r="I50" s="5" t="n">
        <v>146.2</v>
      </c>
      <c r="K50" s="29" t="n">
        <v>21.352</v>
      </c>
      <c r="L50" s="30" t="n">
        <v>142920</v>
      </c>
    </row>
    <row r="51" customFormat="false" ht="15" hidden="false" customHeight="true" outlineLevel="0" collapsed="false">
      <c r="A51" s="8" t="n">
        <v>49</v>
      </c>
      <c r="B51" s="28" t="n">
        <v>45679</v>
      </c>
      <c r="C51" s="8" t="s">
        <v>0</v>
      </c>
      <c r="D51" s="5" t="n">
        <v>146.2</v>
      </c>
      <c r="E51" s="5" t="n">
        <v>149.9</v>
      </c>
      <c r="F51" s="5" t="n">
        <v>145.1</v>
      </c>
      <c r="G51" s="5" t="n">
        <v>149.8</v>
      </c>
      <c r="H51" s="5" t="n">
        <v>146.2</v>
      </c>
      <c r="I51" s="5" t="n">
        <v>147.5</v>
      </c>
      <c r="K51" s="29" t="n">
        <v>7.606</v>
      </c>
      <c r="L51" s="30" t="n">
        <v>52027</v>
      </c>
    </row>
    <row r="52" customFormat="false" ht="15" hidden="false" customHeight="true" outlineLevel="0" collapsed="false">
      <c r="A52" s="8" t="n">
        <v>50</v>
      </c>
      <c r="B52" s="28" t="n">
        <v>45678</v>
      </c>
      <c r="C52" s="8" t="s">
        <v>0</v>
      </c>
      <c r="D52" s="5" t="n">
        <v>147.5</v>
      </c>
      <c r="E52" s="5" t="n">
        <v>149.6</v>
      </c>
      <c r="F52" s="5" t="n">
        <v>147</v>
      </c>
      <c r="G52" s="5" t="n">
        <v>148.3</v>
      </c>
      <c r="H52" s="5" t="n">
        <v>147.5</v>
      </c>
      <c r="I52" s="5" t="n">
        <v>148.3</v>
      </c>
      <c r="K52" s="29" t="n">
        <v>9.107</v>
      </c>
      <c r="L52" s="30" t="n">
        <v>61743</v>
      </c>
    </row>
    <row r="53" customFormat="false" ht="15" hidden="false" customHeight="true" outlineLevel="0" collapsed="false">
      <c r="A53" s="8" t="n">
        <v>51</v>
      </c>
      <c r="B53" s="28" t="n">
        <v>45677</v>
      </c>
      <c r="C53" s="8" t="s">
        <v>0</v>
      </c>
      <c r="D53" s="5" t="n">
        <v>148.3</v>
      </c>
      <c r="E53" s="5" t="n">
        <v>152.3</v>
      </c>
      <c r="F53" s="5" t="n">
        <v>148</v>
      </c>
      <c r="G53" s="5" t="n">
        <v>152</v>
      </c>
      <c r="H53" s="5" t="n">
        <v>148.3</v>
      </c>
      <c r="I53" s="5" t="n">
        <v>150.4</v>
      </c>
      <c r="K53" s="29" t="n">
        <v>19.558</v>
      </c>
      <c r="L53" s="30" t="n">
        <v>131883</v>
      </c>
    </row>
    <row r="54" customFormat="false" ht="15" hidden="false" customHeight="true" outlineLevel="0" collapsed="false">
      <c r="A54" s="8" t="n">
        <v>52</v>
      </c>
      <c r="B54" s="28" t="n">
        <v>45676</v>
      </c>
      <c r="C54" s="8" t="s">
        <v>0</v>
      </c>
      <c r="D54" s="5" t="n">
        <v>150.4</v>
      </c>
      <c r="E54" s="5" t="n">
        <v>154</v>
      </c>
      <c r="F54" s="5" t="n">
        <v>149.7</v>
      </c>
      <c r="G54" s="5" t="n">
        <v>154</v>
      </c>
      <c r="H54" s="5" t="n">
        <v>150.4</v>
      </c>
      <c r="I54" s="5" t="n">
        <v>150.1</v>
      </c>
      <c r="K54" s="29" t="n">
        <v>16.254</v>
      </c>
      <c r="L54" s="30" t="n">
        <v>108071</v>
      </c>
    </row>
    <row r="55" customFormat="false" ht="15" hidden="false" customHeight="true" outlineLevel="0" collapsed="false">
      <c r="A55" s="8" t="n">
        <v>53</v>
      </c>
      <c r="B55" s="28" t="n">
        <v>45673</v>
      </c>
      <c r="C55" s="8" t="s">
        <v>0</v>
      </c>
      <c r="D55" s="5" t="n">
        <v>150.1</v>
      </c>
      <c r="E55" s="5" t="n">
        <v>153.7</v>
      </c>
      <c r="F55" s="5" t="n">
        <v>149.7</v>
      </c>
      <c r="G55" s="5" t="n">
        <v>153.2</v>
      </c>
      <c r="H55" s="5" t="n">
        <v>150.1</v>
      </c>
      <c r="I55" s="5" t="n">
        <v>153.2</v>
      </c>
      <c r="K55" s="29" t="n">
        <v>6.548</v>
      </c>
      <c r="L55" s="30" t="n">
        <v>43625</v>
      </c>
    </row>
    <row r="56" customFormat="false" ht="15" hidden="false" customHeight="true" outlineLevel="0" collapsed="false">
      <c r="A56" s="8" t="n">
        <v>54</v>
      </c>
      <c r="B56" s="28" t="n">
        <v>45672</v>
      </c>
      <c r="C56" s="8" t="s">
        <v>0</v>
      </c>
      <c r="D56" s="5" t="n">
        <v>153.2</v>
      </c>
      <c r="E56" s="5" t="n">
        <v>153.9</v>
      </c>
      <c r="F56" s="5" t="n">
        <v>147.6</v>
      </c>
      <c r="G56" s="5" t="n">
        <v>148.4</v>
      </c>
      <c r="H56" s="5" t="n">
        <v>153.2</v>
      </c>
      <c r="I56" s="5" t="n">
        <v>148.4</v>
      </c>
      <c r="K56" s="29" t="n">
        <v>34.811</v>
      </c>
      <c r="L56" s="30" t="n">
        <v>227227</v>
      </c>
    </row>
    <row r="57" customFormat="false" ht="15" hidden="false" customHeight="true" outlineLevel="0" collapsed="false">
      <c r="A57" s="8" t="n">
        <v>55</v>
      </c>
      <c r="B57" s="28" t="n">
        <v>45671</v>
      </c>
      <c r="C57" s="8" t="s">
        <v>0</v>
      </c>
      <c r="D57" s="5" t="n">
        <v>148.4</v>
      </c>
      <c r="E57" s="5" t="n">
        <v>151</v>
      </c>
      <c r="F57" s="5" t="n">
        <v>148.1</v>
      </c>
      <c r="G57" s="5" t="n">
        <v>148.5</v>
      </c>
      <c r="H57" s="5" t="n">
        <v>148.4</v>
      </c>
      <c r="I57" s="5" t="n">
        <v>148</v>
      </c>
      <c r="K57" s="29" t="n">
        <v>4.526</v>
      </c>
      <c r="L57" s="30" t="n">
        <v>30500</v>
      </c>
    </row>
    <row r="58" customFormat="false" ht="15" hidden="false" customHeight="true" outlineLevel="0" collapsed="false">
      <c r="A58" s="8" t="n">
        <v>56</v>
      </c>
      <c r="B58" s="28" t="n">
        <v>45670</v>
      </c>
      <c r="C58" s="8" t="s">
        <v>0</v>
      </c>
      <c r="D58" s="5" t="n">
        <v>148</v>
      </c>
      <c r="E58" s="5" t="n">
        <v>152.5</v>
      </c>
      <c r="F58" s="5" t="n">
        <v>146.4</v>
      </c>
      <c r="G58" s="5" t="n">
        <v>150</v>
      </c>
      <c r="H58" s="5" t="n">
        <v>148</v>
      </c>
      <c r="I58" s="5" t="n">
        <v>149.3</v>
      </c>
      <c r="K58" s="29" t="n">
        <v>10.261</v>
      </c>
      <c r="L58" s="30" t="n">
        <v>69328</v>
      </c>
    </row>
    <row r="59" customFormat="false" ht="15" hidden="false" customHeight="true" outlineLevel="0" collapsed="false">
      <c r="A59" s="8" t="n">
        <v>57</v>
      </c>
      <c r="B59" s="28" t="n">
        <v>45669</v>
      </c>
      <c r="C59" s="8" t="s">
        <v>0</v>
      </c>
      <c r="D59" s="5" t="n">
        <v>149.3</v>
      </c>
      <c r="E59" s="5" t="n">
        <v>154</v>
      </c>
      <c r="F59" s="5" t="n">
        <v>148.8</v>
      </c>
      <c r="G59" s="5" t="n">
        <v>153.5</v>
      </c>
      <c r="H59" s="5" t="n">
        <v>149.3</v>
      </c>
      <c r="I59" s="5" t="n">
        <v>153.5</v>
      </c>
      <c r="K59" s="29" t="n">
        <v>12.534</v>
      </c>
      <c r="L59" s="30" t="n">
        <v>83953</v>
      </c>
    </row>
    <row r="60" customFormat="false" ht="15" hidden="false" customHeight="true" outlineLevel="0" collapsed="false">
      <c r="A60" s="8" t="n">
        <v>58</v>
      </c>
      <c r="B60" s="28" t="n">
        <v>45666</v>
      </c>
      <c r="C60" s="8" t="s">
        <v>0</v>
      </c>
      <c r="D60" s="5" t="n">
        <v>153.5</v>
      </c>
      <c r="E60" s="5" t="n">
        <v>155.2</v>
      </c>
      <c r="F60" s="5" t="n">
        <v>150.1</v>
      </c>
      <c r="G60" s="5" t="n">
        <v>152.9</v>
      </c>
      <c r="H60" s="5" t="n">
        <v>153.5</v>
      </c>
      <c r="I60" s="5" t="n">
        <v>149.9</v>
      </c>
      <c r="K60" s="29" t="n">
        <v>12.997</v>
      </c>
      <c r="L60" s="30" t="n">
        <v>84673</v>
      </c>
    </row>
    <row r="61" customFormat="false" ht="15" hidden="false" customHeight="true" outlineLevel="0" collapsed="false">
      <c r="A61" s="8" t="n">
        <v>59</v>
      </c>
      <c r="B61" s="28" t="n">
        <v>45665</v>
      </c>
      <c r="C61" s="8" t="s">
        <v>0</v>
      </c>
      <c r="D61" s="5" t="n">
        <v>149.9</v>
      </c>
      <c r="E61" s="5" t="n">
        <v>151</v>
      </c>
      <c r="F61" s="5" t="n">
        <v>146</v>
      </c>
      <c r="G61" s="5" t="n">
        <v>146</v>
      </c>
      <c r="H61" s="5" t="n">
        <v>149.9</v>
      </c>
      <c r="I61" s="5" t="n">
        <v>147.7</v>
      </c>
      <c r="K61" s="29" t="n">
        <v>14.251</v>
      </c>
      <c r="L61" s="30" t="n">
        <v>95071</v>
      </c>
    </row>
    <row r="62" customFormat="false" ht="15" hidden="false" customHeight="true" outlineLevel="0" collapsed="false">
      <c r="A62" s="8" t="n">
        <v>60</v>
      </c>
      <c r="B62" s="28" t="n">
        <v>45664</v>
      </c>
      <c r="C62" s="8" t="s">
        <v>0</v>
      </c>
      <c r="D62" s="5" t="n">
        <v>147.7</v>
      </c>
      <c r="E62" s="5" t="n">
        <v>148.6</v>
      </c>
      <c r="F62" s="5" t="n">
        <v>145</v>
      </c>
      <c r="G62" s="5" t="n">
        <v>145</v>
      </c>
      <c r="H62" s="5" t="n">
        <v>147.7</v>
      </c>
      <c r="I62" s="5" t="n">
        <v>146.4</v>
      </c>
      <c r="K62" s="29" t="n">
        <v>19.943</v>
      </c>
      <c r="L62" s="30" t="n">
        <v>135027</v>
      </c>
    </row>
    <row r="63" customFormat="false" ht="15" hidden="false" customHeight="true" outlineLevel="0" collapsed="false">
      <c r="A63" s="8" t="n">
        <v>61</v>
      </c>
      <c r="B63" s="28" t="n">
        <v>45663</v>
      </c>
      <c r="C63" s="8" t="s">
        <v>0</v>
      </c>
      <c r="D63" s="5" t="n">
        <v>146.4</v>
      </c>
      <c r="E63" s="5" t="n">
        <v>147</v>
      </c>
      <c r="F63" s="5" t="n">
        <v>144</v>
      </c>
      <c r="G63" s="5" t="n">
        <v>145.7</v>
      </c>
      <c r="H63" s="5" t="n">
        <v>146.4</v>
      </c>
      <c r="I63" s="5" t="n">
        <v>145</v>
      </c>
      <c r="K63" s="29" t="n">
        <v>12.74</v>
      </c>
      <c r="L63" s="30" t="n">
        <v>87021</v>
      </c>
    </row>
    <row r="64" customFormat="false" ht="15" hidden="false" customHeight="true" outlineLevel="0" collapsed="false">
      <c r="A64" s="8" t="n">
        <v>62</v>
      </c>
      <c r="B64" s="28" t="n">
        <v>45662</v>
      </c>
      <c r="C64" s="8" t="s">
        <v>0</v>
      </c>
      <c r="D64" s="5" t="n">
        <v>145</v>
      </c>
      <c r="E64" s="5" t="n">
        <v>145.7</v>
      </c>
      <c r="F64" s="5" t="n">
        <v>142.1</v>
      </c>
      <c r="G64" s="5" t="n">
        <v>142.7</v>
      </c>
      <c r="H64" s="5" t="n">
        <v>145</v>
      </c>
      <c r="I64" s="5" t="n">
        <v>142.7</v>
      </c>
      <c r="K64" s="29" t="n">
        <v>12.642</v>
      </c>
      <c r="L64" s="30" t="n">
        <v>87184</v>
      </c>
    </row>
    <row r="65" customFormat="false" ht="15" hidden="false" customHeight="true" outlineLevel="0" collapsed="false">
      <c r="A65" s="8" t="n">
        <v>63</v>
      </c>
      <c r="B65" s="28" t="n">
        <v>45659</v>
      </c>
      <c r="C65" s="8" t="s">
        <v>0</v>
      </c>
      <c r="D65" s="5" t="n">
        <v>142.7</v>
      </c>
      <c r="E65" s="5" t="n">
        <v>143.2</v>
      </c>
      <c r="F65" s="5" t="n">
        <v>139.7</v>
      </c>
      <c r="G65" s="5" t="n">
        <v>140.4</v>
      </c>
      <c r="H65" s="5" t="n">
        <v>142.7</v>
      </c>
      <c r="I65" s="5" t="n">
        <v>139.7</v>
      </c>
      <c r="K65" s="29" t="n">
        <v>10.323</v>
      </c>
      <c r="L65" s="30" t="n">
        <v>72338</v>
      </c>
    </row>
    <row r="66" customFormat="false" ht="15" hidden="false" customHeight="true" outlineLevel="0" collapsed="false">
      <c r="A66" s="8" t="n">
        <v>64</v>
      </c>
      <c r="B66" s="28" t="n">
        <v>45658</v>
      </c>
      <c r="C66" s="8" t="s">
        <v>0</v>
      </c>
      <c r="D66" s="5" t="n">
        <v>139.7</v>
      </c>
      <c r="E66" s="5" t="n">
        <v>143</v>
      </c>
      <c r="F66" s="5" t="n">
        <v>139</v>
      </c>
      <c r="G66" s="5" t="n">
        <v>143</v>
      </c>
      <c r="H66" s="5" t="n">
        <v>139.7</v>
      </c>
      <c r="I66" s="5" t="n">
        <v>139.6</v>
      </c>
      <c r="K66" s="29" t="n">
        <v>4.391</v>
      </c>
      <c r="L66" s="30" t="n">
        <v>31433</v>
      </c>
    </row>
    <row r="67" customFormat="false" ht="15" hidden="false" customHeight="true" outlineLevel="0" collapsed="false">
      <c r="A67" s="8" t="n">
        <v>65</v>
      </c>
      <c r="B67" s="28" t="n">
        <v>45656</v>
      </c>
      <c r="C67" s="8" t="s">
        <v>0</v>
      </c>
      <c r="D67" s="5" t="n">
        <v>139.6</v>
      </c>
      <c r="E67" s="5" t="n">
        <v>140</v>
      </c>
      <c r="F67" s="5" t="n">
        <v>139.2</v>
      </c>
      <c r="G67" s="5" t="n">
        <v>139.3</v>
      </c>
      <c r="H67" s="5" t="n">
        <v>139.6</v>
      </c>
      <c r="I67" s="5" t="n">
        <v>139.7</v>
      </c>
      <c r="K67" s="29" t="n">
        <v>3.096</v>
      </c>
      <c r="L67" s="30" t="n">
        <v>22176</v>
      </c>
    </row>
    <row r="68" customFormat="false" ht="15" hidden="false" customHeight="true" outlineLevel="0" collapsed="false">
      <c r="A68" s="8" t="n">
        <v>66</v>
      </c>
      <c r="B68" s="28" t="n">
        <v>45655</v>
      </c>
      <c r="C68" s="8" t="s">
        <v>0</v>
      </c>
      <c r="D68" s="5" t="n">
        <v>139.7</v>
      </c>
      <c r="E68" s="5" t="n">
        <v>142</v>
      </c>
      <c r="F68" s="5" t="n">
        <v>139.1</v>
      </c>
      <c r="G68" s="5" t="n">
        <v>141.9</v>
      </c>
      <c r="H68" s="5" t="n">
        <v>139.7</v>
      </c>
      <c r="I68" s="5" t="n">
        <v>140.6</v>
      </c>
      <c r="K68" s="29" t="n">
        <v>3.933</v>
      </c>
      <c r="L68" s="30" t="n">
        <v>28156</v>
      </c>
    </row>
    <row r="69" customFormat="false" ht="15" hidden="false" customHeight="true" outlineLevel="0" collapsed="false">
      <c r="A69" s="8" t="n">
        <v>67</v>
      </c>
      <c r="B69" s="28" t="n">
        <v>45652</v>
      </c>
      <c r="C69" s="8" t="s">
        <v>0</v>
      </c>
      <c r="D69" s="5" t="n">
        <v>140.6</v>
      </c>
      <c r="E69" s="5" t="n">
        <v>141</v>
      </c>
      <c r="F69" s="5" t="n">
        <v>138.6</v>
      </c>
      <c r="G69" s="5" t="n">
        <v>139.8</v>
      </c>
      <c r="H69" s="5" t="n">
        <v>140.6</v>
      </c>
      <c r="I69" s="5" t="n">
        <v>140.9</v>
      </c>
      <c r="K69" s="29" t="n">
        <v>2.151</v>
      </c>
      <c r="L69" s="30" t="n">
        <v>15296</v>
      </c>
    </row>
    <row r="70" customFormat="false" ht="15" hidden="false" customHeight="true" outlineLevel="0" collapsed="false">
      <c r="A70" s="8" t="n">
        <v>68</v>
      </c>
      <c r="B70" s="28" t="n">
        <v>45650</v>
      </c>
      <c r="C70" s="8" t="s">
        <v>0</v>
      </c>
      <c r="D70" s="5" t="n">
        <v>140.9</v>
      </c>
      <c r="E70" s="5" t="n">
        <v>142</v>
      </c>
      <c r="F70" s="5" t="n">
        <v>139.1</v>
      </c>
      <c r="G70" s="5" t="n">
        <v>140</v>
      </c>
      <c r="H70" s="5" t="n">
        <v>140.9</v>
      </c>
      <c r="I70" s="5" t="n">
        <v>141.2</v>
      </c>
      <c r="K70" s="29" t="n">
        <v>3.234</v>
      </c>
      <c r="L70" s="30" t="n">
        <v>22949</v>
      </c>
    </row>
    <row r="71" customFormat="false" ht="15" hidden="false" customHeight="true" outlineLevel="0" collapsed="false">
      <c r="A71" s="8" t="n">
        <v>69</v>
      </c>
      <c r="B71" s="28" t="n">
        <v>45649</v>
      </c>
      <c r="C71" s="8" t="s">
        <v>0</v>
      </c>
      <c r="D71" s="5" t="n">
        <v>141.2</v>
      </c>
      <c r="E71" s="5" t="n">
        <v>144.4</v>
      </c>
      <c r="F71" s="5" t="n">
        <v>141</v>
      </c>
      <c r="G71" s="5" t="n">
        <v>141</v>
      </c>
      <c r="H71" s="5" t="n">
        <v>141.2</v>
      </c>
      <c r="I71" s="5" t="n">
        <v>141</v>
      </c>
      <c r="K71" s="29" t="n">
        <v>8.877</v>
      </c>
      <c r="L71" s="30" t="n">
        <v>62869</v>
      </c>
    </row>
    <row r="72" customFormat="false" ht="15" hidden="false" customHeight="true" outlineLevel="0" collapsed="false">
      <c r="A72" s="8" t="n">
        <v>70</v>
      </c>
      <c r="B72" s="28" t="n">
        <v>45648</v>
      </c>
      <c r="C72" s="8" t="s">
        <v>0</v>
      </c>
      <c r="D72" s="5" t="n">
        <v>141</v>
      </c>
      <c r="E72" s="5" t="n">
        <v>142.5</v>
      </c>
      <c r="F72" s="5" t="n">
        <v>136.1</v>
      </c>
      <c r="G72" s="5" t="n">
        <v>137</v>
      </c>
      <c r="H72" s="5" t="n">
        <v>141</v>
      </c>
      <c r="I72" s="5" t="n">
        <v>137.4</v>
      </c>
      <c r="K72" s="29" t="n">
        <v>25.777</v>
      </c>
      <c r="L72" s="30" t="n">
        <v>182813</v>
      </c>
    </row>
    <row r="73" customFormat="false" ht="15" hidden="false" customHeight="true" outlineLevel="0" collapsed="false">
      <c r="A73" s="8" t="n">
        <v>71</v>
      </c>
      <c r="B73" s="28" t="n">
        <v>45645</v>
      </c>
      <c r="C73" s="8" t="s">
        <v>0</v>
      </c>
      <c r="D73" s="5" t="n">
        <v>137.4</v>
      </c>
      <c r="E73" s="5" t="n">
        <v>139.2</v>
      </c>
      <c r="F73" s="5" t="n">
        <v>135.4</v>
      </c>
      <c r="G73" s="5" t="n">
        <v>136</v>
      </c>
      <c r="H73" s="5" t="n">
        <v>137.4</v>
      </c>
      <c r="I73" s="5" t="n">
        <v>136.7</v>
      </c>
      <c r="K73" s="29" t="n">
        <v>6.831</v>
      </c>
      <c r="L73" s="30" t="n">
        <v>49714</v>
      </c>
    </row>
    <row r="74" customFormat="false" ht="15" hidden="false" customHeight="true" outlineLevel="0" collapsed="false">
      <c r="A74" s="8" t="n">
        <v>72</v>
      </c>
      <c r="B74" s="28" t="n">
        <v>45644</v>
      </c>
      <c r="C74" s="8" t="s">
        <v>0</v>
      </c>
      <c r="D74" s="5" t="n">
        <v>136.7</v>
      </c>
      <c r="E74" s="5" t="n">
        <v>138.5</v>
      </c>
      <c r="F74" s="5" t="n">
        <v>136.1</v>
      </c>
      <c r="G74" s="5" t="n">
        <v>137.9</v>
      </c>
      <c r="H74" s="5" t="n">
        <v>136.7</v>
      </c>
      <c r="I74" s="5" t="n">
        <v>138.7</v>
      </c>
      <c r="K74" s="29" t="n">
        <v>6.428</v>
      </c>
      <c r="L74" s="30" t="n">
        <v>47026</v>
      </c>
    </row>
    <row r="75" customFormat="false" ht="15" hidden="false" customHeight="true" outlineLevel="0" collapsed="false">
      <c r="A75" s="8" t="n">
        <v>73</v>
      </c>
      <c r="B75" s="28" t="n">
        <v>45643</v>
      </c>
      <c r="C75" s="8" t="s">
        <v>0</v>
      </c>
      <c r="D75" s="5" t="n">
        <v>138.7</v>
      </c>
      <c r="E75" s="5" t="n">
        <v>141.9</v>
      </c>
      <c r="F75" s="5" t="n">
        <v>137.5</v>
      </c>
      <c r="G75" s="5" t="n">
        <v>139.1</v>
      </c>
      <c r="H75" s="5" t="n">
        <v>138.7</v>
      </c>
      <c r="I75" s="5" t="n">
        <v>141.1</v>
      </c>
      <c r="K75" s="29" t="n">
        <v>13.429</v>
      </c>
      <c r="L75" s="30" t="n">
        <v>96820</v>
      </c>
    </row>
    <row r="76" customFormat="false" ht="15" hidden="false" customHeight="true" outlineLevel="0" collapsed="false">
      <c r="A76" s="8" t="n">
        <v>74</v>
      </c>
      <c r="B76" s="28" t="n">
        <v>45641</v>
      </c>
      <c r="C76" s="8" t="s">
        <v>0</v>
      </c>
      <c r="D76" s="5" t="n">
        <v>141.1</v>
      </c>
      <c r="E76" s="5" t="n">
        <v>142</v>
      </c>
      <c r="F76" s="5" t="n">
        <v>135.2</v>
      </c>
      <c r="G76" s="5" t="n">
        <v>136</v>
      </c>
      <c r="H76" s="5" t="n">
        <v>141.1</v>
      </c>
      <c r="I76" s="5" t="n">
        <v>137.4</v>
      </c>
      <c r="K76" s="29" t="n">
        <v>16.879</v>
      </c>
      <c r="L76" s="30" t="n">
        <v>119624</v>
      </c>
    </row>
    <row r="77" customFormat="false" ht="15" hidden="false" customHeight="true" outlineLevel="0" collapsed="false">
      <c r="A77" s="8" t="n">
        <v>75</v>
      </c>
      <c r="B77" s="28" t="n">
        <v>45638</v>
      </c>
      <c r="C77" s="8" t="s">
        <v>0</v>
      </c>
      <c r="D77" s="5" t="n">
        <v>137.4</v>
      </c>
      <c r="E77" s="5" t="n">
        <v>137.9</v>
      </c>
      <c r="F77" s="5" t="n">
        <v>132.6</v>
      </c>
      <c r="G77" s="5" t="n">
        <v>132.6</v>
      </c>
      <c r="H77" s="5" t="n">
        <v>137.4</v>
      </c>
      <c r="I77" s="5" t="n">
        <v>132.6</v>
      </c>
      <c r="K77" s="29" t="n">
        <v>23.884</v>
      </c>
      <c r="L77" s="30" t="n">
        <v>173828</v>
      </c>
    </row>
    <row r="78" customFormat="false" ht="15" hidden="false" customHeight="true" outlineLevel="0" collapsed="false">
      <c r="A78" s="8" t="n">
        <v>76</v>
      </c>
      <c r="B78" s="28" t="n">
        <v>45637</v>
      </c>
      <c r="C78" s="8" t="s">
        <v>0</v>
      </c>
      <c r="D78" s="5" t="n">
        <v>132.6</v>
      </c>
      <c r="E78" s="5" t="n">
        <v>134.5</v>
      </c>
      <c r="F78" s="5" t="n">
        <v>132.3</v>
      </c>
      <c r="G78" s="5" t="n">
        <v>134.3</v>
      </c>
      <c r="H78" s="5" t="n">
        <v>132.6</v>
      </c>
      <c r="I78" s="5" t="n">
        <v>134.3</v>
      </c>
      <c r="K78" s="29" t="n">
        <v>4.996</v>
      </c>
      <c r="L78" s="30" t="n">
        <v>37677</v>
      </c>
    </row>
    <row r="79" customFormat="false" ht="15" hidden="false" customHeight="true" outlineLevel="0" collapsed="false">
      <c r="A79" s="8" t="n">
        <v>77</v>
      </c>
      <c r="B79" s="28" t="n">
        <v>45636</v>
      </c>
      <c r="C79" s="8" t="s">
        <v>0</v>
      </c>
      <c r="D79" s="5" t="n">
        <v>134.3</v>
      </c>
      <c r="E79" s="5" t="n">
        <v>135</v>
      </c>
      <c r="F79" s="5" t="n">
        <v>130.9</v>
      </c>
      <c r="G79" s="5" t="n">
        <v>132.3</v>
      </c>
      <c r="H79" s="5" t="n">
        <v>134.3</v>
      </c>
      <c r="I79" s="5" t="n">
        <v>131.4</v>
      </c>
      <c r="K79" s="29" t="n">
        <v>13.704</v>
      </c>
      <c r="L79" s="30" t="n">
        <v>102040</v>
      </c>
    </row>
    <row r="80" customFormat="false" ht="15" hidden="false" customHeight="true" outlineLevel="0" collapsed="false">
      <c r="A80" s="8" t="n">
        <v>78</v>
      </c>
      <c r="B80" s="28" t="n">
        <v>45635</v>
      </c>
      <c r="C80" s="8" t="s">
        <v>0</v>
      </c>
      <c r="D80" s="5" t="n">
        <v>131.4</v>
      </c>
      <c r="E80" s="5" t="n">
        <v>132.2</v>
      </c>
      <c r="F80" s="5" t="n">
        <v>127.9</v>
      </c>
      <c r="G80" s="5" t="n">
        <v>129.9</v>
      </c>
      <c r="H80" s="5" t="n">
        <v>131.4</v>
      </c>
      <c r="I80" s="5" t="n">
        <v>128.4</v>
      </c>
      <c r="K80" s="29" t="n">
        <v>10.691</v>
      </c>
      <c r="L80" s="30" t="n">
        <v>81364</v>
      </c>
    </row>
    <row r="81" customFormat="false" ht="15" hidden="false" customHeight="true" outlineLevel="0" collapsed="false">
      <c r="A81" s="8" t="n">
        <v>79</v>
      </c>
      <c r="B81" s="28" t="n">
        <v>45634</v>
      </c>
      <c r="C81" s="8" t="s">
        <v>0</v>
      </c>
      <c r="D81" s="5" t="n">
        <v>128.4</v>
      </c>
      <c r="E81" s="5" t="n">
        <v>129.3</v>
      </c>
      <c r="F81" s="5" t="n">
        <v>126</v>
      </c>
      <c r="G81" s="5" t="n">
        <v>128</v>
      </c>
      <c r="H81" s="5" t="n">
        <v>128.4</v>
      </c>
      <c r="I81" s="5" t="n">
        <v>128</v>
      </c>
      <c r="K81" s="29" t="n">
        <v>3.672</v>
      </c>
      <c r="L81" s="30" t="n">
        <v>28602</v>
      </c>
    </row>
    <row r="82" customFormat="false" ht="15" hidden="false" customHeight="true" outlineLevel="0" collapsed="false">
      <c r="A82" s="8" t="n">
        <v>80</v>
      </c>
      <c r="B82" s="28" t="n">
        <v>45631</v>
      </c>
      <c r="C82" s="8" t="s">
        <v>0</v>
      </c>
      <c r="D82" s="5" t="n">
        <v>128</v>
      </c>
      <c r="E82" s="5" t="n">
        <v>130.7</v>
      </c>
      <c r="F82" s="5" t="n">
        <v>127.7</v>
      </c>
      <c r="G82" s="5" t="n">
        <v>128.7</v>
      </c>
      <c r="H82" s="5" t="n">
        <v>128</v>
      </c>
      <c r="I82" s="5" t="n">
        <v>129.5</v>
      </c>
      <c r="K82" s="29" t="n">
        <v>3.096</v>
      </c>
      <c r="L82" s="30" t="n">
        <v>24188</v>
      </c>
    </row>
    <row r="83" customFormat="false" ht="15" hidden="false" customHeight="true" outlineLevel="0" collapsed="false">
      <c r="A83" s="8" t="n">
        <v>81</v>
      </c>
      <c r="B83" s="28" t="n">
        <v>45630</v>
      </c>
      <c r="C83" s="8" t="s">
        <v>0</v>
      </c>
      <c r="D83" s="5" t="n">
        <v>129.5</v>
      </c>
      <c r="E83" s="5" t="n">
        <v>133</v>
      </c>
      <c r="F83" s="5" t="n">
        <v>127.1</v>
      </c>
      <c r="G83" s="5" t="n">
        <v>128</v>
      </c>
      <c r="H83" s="5" t="n">
        <v>129.5</v>
      </c>
      <c r="I83" s="5" t="n">
        <v>128.2</v>
      </c>
      <c r="K83" s="29" t="n">
        <v>10.671</v>
      </c>
      <c r="L83" s="30" t="n">
        <v>82404</v>
      </c>
    </row>
    <row r="84" customFormat="false" ht="15" hidden="false" customHeight="true" outlineLevel="0" collapsed="false">
      <c r="A84" s="8" t="n">
        <v>82</v>
      </c>
      <c r="B84" s="28" t="n">
        <v>45629</v>
      </c>
      <c r="C84" s="8" t="s">
        <v>0</v>
      </c>
      <c r="D84" s="5" t="n">
        <v>128.2</v>
      </c>
      <c r="E84" s="5" t="n">
        <v>129.5</v>
      </c>
      <c r="F84" s="5" t="n">
        <v>127.8</v>
      </c>
      <c r="G84" s="5" t="n">
        <v>129.1</v>
      </c>
      <c r="H84" s="5" t="n">
        <v>128.2</v>
      </c>
      <c r="I84" s="5" t="n">
        <v>129.1</v>
      </c>
      <c r="K84" s="29" t="n">
        <v>5.919</v>
      </c>
      <c r="L84" s="30" t="n">
        <v>46173</v>
      </c>
    </row>
    <row r="85" customFormat="false" ht="15" hidden="false" customHeight="true" outlineLevel="0" collapsed="false">
      <c r="A85" s="8" t="n">
        <v>83</v>
      </c>
      <c r="B85" s="28" t="n">
        <v>45628</v>
      </c>
      <c r="C85" s="8" t="s">
        <v>0</v>
      </c>
      <c r="D85" s="5" t="n">
        <v>129.1</v>
      </c>
      <c r="E85" s="5" t="n">
        <v>131</v>
      </c>
      <c r="F85" s="5" t="n">
        <v>128</v>
      </c>
      <c r="G85" s="5" t="n">
        <v>130</v>
      </c>
      <c r="H85" s="5" t="n">
        <v>129.1</v>
      </c>
      <c r="I85" s="5" t="n">
        <v>129.9</v>
      </c>
      <c r="K85" s="29" t="n">
        <v>11.075</v>
      </c>
      <c r="L85" s="30" t="n">
        <v>85790</v>
      </c>
    </row>
    <row r="86" customFormat="false" ht="15" hidden="false" customHeight="true" outlineLevel="0" collapsed="false">
      <c r="A86" s="8" t="n">
        <v>84</v>
      </c>
      <c r="B86" s="28" t="n">
        <v>45627</v>
      </c>
      <c r="C86" s="8" t="s">
        <v>0</v>
      </c>
      <c r="D86" s="5" t="n">
        <v>129.9</v>
      </c>
      <c r="E86" s="5" t="n">
        <v>131</v>
      </c>
      <c r="F86" s="5" t="n">
        <v>127.4</v>
      </c>
      <c r="G86" s="5" t="n">
        <v>128.8</v>
      </c>
      <c r="H86" s="5" t="n">
        <v>129.9</v>
      </c>
      <c r="I86" s="5" t="n">
        <v>128.4</v>
      </c>
      <c r="K86" s="29" t="n">
        <v>8.891</v>
      </c>
      <c r="L86" s="30" t="n">
        <v>68443</v>
      </c>
    </row>
    <row r="87" customFormat="false" ht="15" hidden="false" customHeight="true" outlineLevel="0" collapsed="false">
      <c r="A87" s="8" t="n">
        <v>85</v>
      </c>
      <c r="B87" s="28" t="n">
        <v>45624</v>
      </c>
      <c r="C87" s="8" t="s">
        <v>0</v>
      </c>
      <c r="D87" s="5" t="n">
        <v>128.4</v>
      </c>
      <c r="E87" s="5" t="n">
        <v>128.5</v>
      </c>
      <c r="F87" s="5" t="n">
        <v>124.7</v>
      </c>
      <c r="G87" s="5" t="n">
        <v>124.7</v>
      </c>
      <c r="H87" s="5" t="n">
        <v>128.4</v>
      </c>
      <c r="I87" s="5" t="n">
        <v>124.7</v>
      </c>
      <c r="K87" s="29" t="n">
        <v>17.464</v>
      </c>
      <c r="L87" s="30" t="n">
        <v>136009</v>
      </c>
    </row>
    <row r="88" customFormat="false" ht="15" hidden="false" customHeight="true" outlineLevel="0" collapsed="false">
      <c r="A88" s="8" t="n">
        <v>86</v>
      </c>
      <c r="B88" s="28" t="n">
        <v>45623</v>
      </c>
      <c r="C88" s="8" t="s">
        <v>0</v>
      </c>
      <c r="D88" s="5" t="n">
        <v>124.7</v>
      </c>
      <c r="E88" s="5" t="n">
        <v>129.7</v>
      </c>
      <c r="F88" s="5" t="n">
        <v>124.4</v>
      </c>
      <c r="G88" s="5" t="n">
        <v>129.7</v>
      </c>
      <c r="H88" s="5" t="n">
        <v>124.7</v>
      </c>
      <c r="I88" s="5" t="n">
        <v>124.4</v>
      </c>
      <c r="K88" s="29" t="n">
        <v>1.804</v>
      </c>
      <c r="L88" s="30" t="n">
        <v>14464</v>
      </c>
    </row>
    <row r="89" customFormat="false" ht="15" hidden="false" customHeight="true" outlineLevel="0" collapsed="false">
      <c r="A89" s="8" t="n">
        <v>87</v>
      </c>
      <c r="B89" s="28" t="n">
        <v>45622</v>
      </c>
      <c r="C89" s="8" t="s">
        <v>0</v>
      </c>
      <c r="D89" s="5" t="n">
        <v>124.4</v>
      </c>
      <c r="E89" s="5" t="n">
        <v>126</v>
      </c>
      <c r="F89" s="5" t="n">
        <v>123.3</v>
      </c>
      <c r="G89" s="5" t="n">
        <v>123.3</v>
      </c>
      <c r="H89" s="5" t="n">
        <v>124.4</v>
      </c>
      <c r="I89" s="5" t="n">
        <v>124.1</v>
      </c>
      <c r="K89" s="29" t="n">
        <v>9.132</v>
      </c>
      <c r="L89" s="30" t="n">
        <v>73412</v>
      </c>
    </row>
    <row r="90" customFormat="false" ht="15" hidden="false" customHeight="true" outlineLevel="0" collapsed="false">
      <c r="A90" s="8" t="n">
        <v>88</v>
      </c>
      <c r="B90" s="28" t="n">
        <v>45621</v>
      </c>
      <c r="C90" s="8" t="s">
        <v>0</v>
      </c>
      <c r="D90" s="5" t="n">
        <v>124.1</v>
      </c>
      <c r="E90" s="5" t="n">
        <v>124.9</v>
      </c>
      <c r="F90" s="5" t="n">
        <v>122.5</v>
      </c>
      <c r="G90" s="5" t="n">
        <v>122.6</v>
      </c>
      <c r="H90" s="5" t="n">
        <v>124.1</v>
      </c>
      <c r="I90" s="5" t="n">
        <v>122.3</v>
      </c>
      <c r="K90" s="29" t="n">
        <v>5.698</v>
      </c>
      <c r="L90" s="30" t="n">
        <v>45914</v>
      </c>
    </row>
    <row r="91" customFormat="false" ht="15" hidden="false" customHeight="true" outlineLevel="0" collapsed="false">
      <c r="A91" s="8" t="n">
        <v>89</v>
      </c>
      <c r="B91" s="28" t="n">
        <v>45620</v>
      </c>
      <c r="C91" s="8" t="s">
        <v>0</v>
      </c>
      <c r="D91" s="5" t="n">
        <v>122.3</v>
      </c>
      <c r="E91" s="5" t="n">
        <v>124.7</v>
      </c>
      <c r="F91" s="5" t="n">
        <v>121.9</v>
      </c>
      <c r="G91" s="5" t="n">
        <v>122.5</v>
      </c>
      <c r="H91" s="5" t="n">
        <v>122.3</v>
      </c>
      <c r="I91" s="5" t="n">
        <v>121.4</v>
      </c>
      <c r="K91" s="29" t="n">
        <v>4.16</v>
      </c>
      <c r="L91" s="30" t="n">
        <v>34011</v>
      </c>
    </row>
    <row r="92" customFormat="false" ht="15" hidden="false" customHeight="true" outlineLevel="0" collapsed="false">
      <c r="A92" s="8" t="n">
        <v>90</v>
      </c>
      <c r="B92" s="28" t="n">
        <v>45617</v>
      </c>
      <c r="C92" s="8" t="s">
        <v>0</v>
      </c>
      <c r="D92" s="5" t="n">
        <v>121.4</v>
      </c>
      <c r="E92" s="5" t="n">
        <v>123.7</v>
      </c>
      <c r="F92" s="5" t="n">
        <v>120.7</v>
      </c>
      <c r="G92" s="5" t="n">
        <v>120.8</v>
      </c>
      <c r="H92" s="5" t="n">
        <v>121.4</v>
      </c>
      <c r="I92" s="5" t="n">
        <v>120.5</v>
      </c>
      <c r="K92" s="29" t="n">
        <v>2.685</v>
      </c>
      <c r="L92" s="30" t="n">
        <v>22116</v>
      </c>
    </row>
    <row r="93" customFormat="false" ht="15" hidden="false" customHeight="true" outlineLevel="0" collapsed="false">
      <c r="A93" s="8" t="n">
        <v>91</v>
      </c>
      <c r="B93" s="28" t="n">
        <v>45616</v>
      </c>
      <c r="C93" s="8" t="s">
        <v>0</v>
      </c>
      <c r="D93" s="5" t="n">
        <v>120.5</v>
      </c>
      <c r="E93" s="5" t="n">
        <v>123.7</v>
      </c>
      <c r="F93" s="5" t="n">
        <v>120</v>
      </c>
      <c r="G93" s="5" t="n">
        <v>123.7</v>
      </c>
      <c r="H93" s="5" t="n">
        <v>120.5</v>
      </c>
      <c r="I93" s="5" t="n">
        <v>123.5</v>
      </c>
      <c r="K93" s="29" t="n">
        <v>4.872</v>
      </c>
      <c r="L93" s="30" t="n">
        <v>40430</v>
      </c>
    </row>
    <row r="94" customFormat="false" ht="15" hidden="false" customHeight="true" outlineLevel="0" collapsed="false">
      <c r="A94" s="8" t="n">
        <v>92</v>
      </c>
      <c r="B94" s="28" t="n">
        <v>45615</v>
      </c>
      <c r="C94" s="8" t="s">
        <v>0</v>
      </c>
      <c r="D94" s="5" t="n">
        <v>123.5</v>
      </c>
      <c r="E94" s="5" t="n">
        <v>127.9</v>
      </c>
      <c r="F94" s="5" t="n">
        <v>123</v>
      </c>
      <c r="G94" s="5" t="n">
        <v>127.9</v>
      </c>
      <c r="H94" s="5" t="n">
        <v>123.5</v>
      </c>
      <c r="I94" s="5" t="n">
        <v>127</v>
      </c>
      <c r="K94" s="29" t="n">
        <v>6.664</v>
      </c>
      <c r="L94" s="30" t="n">
        <v>53958</v>
      </c>
    </row>
    <row r="95" customFormat="false" ht="15" hidden="false" customHeight="true" outlineLevel="0" collapsed="false">
      <c r="A95" s="8" t="n">
        <v>93</v>
      </c>
      <c r="B95" s="28" t="n">
        <v>45614</v>
      </c>
      <c r="C95" s="8" t="s">
        <v>0</v>
      </c>
      <c r="D95" s="5" t="n">
        <v>127</v>
      </c>
      <c r="E95" s="5" t="n">
        <v>128.5</v>
      </c>
      <c r="F95" s="5" t="n">
        <v>117</v>
      </c>
      <c r="G95" s="5" t="n">
        <v>117.1</v>
      </c>
      <c r="H95" s="5" t="n">
        <v>127</v>
      </c>
      <c r="I95" s="5" t="n">
        <v>147.8</v>
      </c>
      <c r="K95" s="29" t="n">
        <v>12.236</v>
      </c>
      <c r="L95" s="30" t="n">
        <v>96347</v>
      </c>
    </row>
    <row r="96" customFormat="false" ht="15" hidden="false" customHeight="true" outlineLevel="0" collapsed="false">
      <c r="A96" s="8" t="n">
        <v>94</v>
      </c>
      <c r="B96" s="28" t="n">
        <v>45613</v>
      </c>
      <c r="C96" s="8" t="s">
        <v>0</v>
      </c>
      <c r="D96" s="5" t="n">
        <v>147.8</v>
      </c>
      <c r="E96" s="5" t="n">
        <v>147.8</v>
      </c>
      <c r="F96" s="5" t="n">
        <v>147.8</v>
      </c>
      <c r="G96" s="5" t="n">
        <v>147.8</v>
      </c>
      <c r="H96" s="5" t="n">
        <v>147.8</v>
      </c>
      <c r="I96" s="5" t="n">
        <v>147.8</v>
      </c>
      <c r="K96" s="29" t="n">
        <v>0</v>
      </c>
      <c r="L96" s="30" t="n">
        <v>0</v>
      </c>
    </row>
    <row r="97" customFormat="false" ht="15" hidden="false" customHeight="true" outlineLevel="0" collapsed="false">
      <c r="A97" s="8" t="n">
        <v>95</v>
      </c>
      <c r="B97" s="28" t="n">
        <v>45610</v>
      </c>
      <c r="C97" s="8" t="s">
        <v>0</v>
      </c>
      <c r="D97" s="5" t="n">
        <v>147.8</v>
      </c>
      <c r="E97" s="5" t="n">
        <v>149</v>
      </c>
      <c r="F97" s="5" t="n">
        <v>145.8</v>
      </c>
      <c r="G97" s="5" t="n">
        <v>148.8</v>
      </c>
      <c r="H97" s="5" t="n">
        <v>147.8</v>
      </c>
      <c r="I97" s="5" t="n">
        <v>145.5</v>
      </c>
      <c r="K97" s="29" t="n">
        <v>10.961</v>
      </c>
      <c r="L97" s="30" t="n">
        <v>74164</v>
      </c>
    </row>
    <row r="98" customFormat="false" ht="15" hidden="false" customHeight="true" outlineLevel="0" collapsed="false">
      <c r="A98" s="8" t="n">
        <v>96</v>
      </c>
      <c r="B98" s="28" t="n">
        <v>45609</v>
      </c>
      <c r="C98" s="8" t="s">
        <v>0</v>
      </c>
      <c r="D98" s="5" t="n">
        <v>145.5</v>
      </c>
      <c r="E98" s="5" t="n">
        <v>147</v>
      </c>
      <c r="F98" s="5" t="n">
        <v>143.9</v>
      </c>
      <c r="G98" s="5" t="n">
        <v>145.4</v>
      </c>
      <c r="H98" s="5" t="n">
        <v>145.5</v>
      </c>
      <c r="I98" s="5" t="n">
        <v>145.3</v>
      </c>
      <c r="K98" s="29" t="n">
        <v>9.151</v>
      </c>
      <c r="L98" s="30" t="n">
        <v>62894</v>
      </c>
    </row>
    <row r="99" customFormat="false" ht="15" hidden="false" customHeight="true" outlineLevel="0" collapsed="false">
      <c r="A99" s="8" t="n">
        <v>97</v>
      </c>
      <c r="B99" s="28" t="n">
        <v>45608</v>
      </c>
      <c r="C99" s="8" t="s">
        <v>0</v>
      </c>
      <c r="D99" s="5" t="n">
        <v>145.3</v>
      </c>
      <c r="E99" s="5" t="n">
        <v>148.3</v>
      </c>
      <c r="F99" s="5" t="n">
        <v>144</v>
      </c>
      <c r="G99" s="5" t="n">
        <v>144.2</v>
      </c>
      <c r="H99" s="5" t="n">
        <v>145.3</v>
      </c>
      <c r="I99" s="5" t="n">
        <v>144.1</v>
      </c>
      <c r="K99" s="29" t="n">
        <v>7.715</v>
      </c>
      <c r="L99" s="30" t="n">
        <v>53098</v>
      </c>
    </row>
    <row r="100" customFormat="false" ht="15" hidden="false" customHeight="true" outlineLevel="0" collapsed="false">
      <c r="A100" s="8" t="n">
        <v>98</v>
      </c>
      <c r="B100" s="28" t="n">
        <v>45607</v>
      </c>
      <c r="C100" s="8" t="s">
        <v>0</v>
      </c>
      <c r="D100" s="5" t="n">
        <v>144.1</v>
      </c>
      <c r="E100" s="5" t="n">
        <v>144.9</v>
      </c>
      <c r="F100" s="5" t="n">
        <v>138.1</v>
      </c>
      <c r="G100" s="5" t="n">
        <v>143</v>
      </c>
      <c r="H100" s="5" t="n">
        <v>144.1</v>
      </c>
      <c r="I100" s="5" t="n">
        <v>142</v>
      </c>
      <c r="K100" s="29" t="n">
        <v>4.125</v>
      </c>
      <c r="L100" s="30" t="n">
        <v>28624</v>
      </c>
    </row>
    <row r="101" customFormat="false" ht="15" hidden="false" customHeight="true" outlineLevel="0" collapsed="false">
      <c r="A101" s="8" t="n">
        <v>99</v>
      </c>
      <c r="B101" s="28" t="n">
        <v>45606</v>
      </c>
      <c r="C101" s="8" t="s">
        <v>0</v>
      </c>
      <c r="D101" s="5" t="n">
        <v>142</v>
      </c>
      <c r="E101" s="5" t="n">
        <v>143</v>
      </c>
      <c r="F101" s="5" t="n">
        <v>140.2</v>
      </c>
      <c r="G101" s="5" t="n">
        <v>140.6</v>
      </c>
      <c r="H101" s="5" t="n">
        <v>142</v>
      </c>
      <c r="I101" s="5" t="n">
        <v>142.5</v>
      </c>
      <c r="K101" s="29" t="n">
        <v>4.262</v>
      </c>
      <c r="L101" s="30" t="n">
        <v>30013</v>
      </c>
    </row>
    <row r="102" customFormat="false" ht="15" hidden="false" customHeight="true" outlineLevel="0" collapsed="false">
      <c r="A102" s="8" t="n">
        <v>100</v>
      </c>
      <c r="B102" s="28" t="n">
        <v>45603</v>
      </c>
      <c r="C102" s="8" t="s">
        <v>0</v>
      </c>
      <c r="D102" s="5" t="n">
        <v>142.5</v>
      </c>
      <c r="E102" s="5" t="n">
        <v>145</v>
      </c>
      <c r="F102" s="5" t="n">
        <v>140.3</v>
      </c>
      <c r="G102" s="5" t="n">
        <v>144</v>
      </c>
      <c r="H102" s="5" t="n">
        <v>142.5</v>
      </c>
      <c r="I102" s="5" t="n">
        <v>143</v>
      </c>
      <c r="K102" s="29" t="n">
        <v>4.97</v>
      </c>
      <c r="L102" s="30" t="n">
        <v>34880</v>
      </c>
    </row>
    <row r="103" customFormat="false" ht="15" hidden="false" customHeight="true" outlineLevel="0" collapsed="false">
      <c r="A103" s="8" t="n">
        <v>101</v>
      </c>
      <c r="B103" s="28" t="n">
        <v>45602</v>
      </c>
      <c r="C103" s="8" t="s">
        <v>0</v>
      </c>
      <c r="D103" s="5" t="n">
        <v>143</v>
      </c>
      <c r="E103" s="5" t="n">
        <v>149.9</v>
      </c>
      <c r="F103" s="5" t="n">
        <v>136.1</v>
      </c>
      <c r="G103" s="5" t="n">
        <v>143.4</v>
      </c>
      <c r="H103" s="5" t="n">
        <v>143</v>
      </c>
      <c r="I103" s="5" t="n">
        <v>142.5</v>
      </c>
      <c r="K103" s="29" t="n">
        <v>7.459</v>
      </c>
      <c r="L103" s="30" t="n">
        <v>52164</v>
      </c>
    </row>
    <row r="104" customFormat="false" ht="15" hidden="false" customHeight="true" outlineLevel="0" collapsed="false">
      <c r="A104" s="8" t="n">
        <v>102</v>
      </c>
      <c r="B104" s="28" t="n">
        <v>45601</v>
      </c>
      <c r="C104" s="8" t="s">
        <v>0</v>
      </c>
      <c r="D104" s="5" t="n">
        <v>142.5</v>
      </c>
      <c r="E104" s="5" t="n">
        <v>144.9</v>
      </c>
      <c r="F104" s="5" t="n">
        <v>136.8</v>
      </c>
      <c r="G104" s="5" t="n">
        <v>136.8</v>
      </c>
      <c r="H104" s="5" t="n">
        <v>142.5</v>
      </c>
      <c r="I104" s="5" t="n">
        <v>135.1</v>
      </c>
      <c r="K104" s="29" t="n">
        <v>10.92</v>
      </c>
      <c r="L104" s="30" t="n">
        <v>76635</v>
      </c>
    </row>
    <row r="105" customFormat="false" ht="15" hidden="false" customHeight="true" outlineLevel="0" collapsed="false">
      <c r="A105" s="8" t="n">
        <v>103</v>
      </c>
      <c r="B105" s="28" t="n">
        <v>45600</v>
      </c>
      <c r="C105" s="8" t="s">
        <v>0</v>
      </c>
      <c r="D105" s="5" t="n">
        <v>135.1</v>
      </c>
      <c r="E105" s="5" t="n">
        <v>136</v>
      </c>
      <c r="F105" s="5" t="n">
        <v>129</v>
      </c>
      <c r="G105" s="5" t="n">
        <v>130.9</v>
      </c>
      <c r="H105" s="5" t="n">
        <v>135.1</v>
      </c>
      <c r="I105" s="5" t="n">
        <v>130.9</v>
      </c>
      <c r="K105" s="29" t="n">
        <v>5.714</v>
      </c>
      <c r="L105" s="30" t="n">
        <v>42291</v>
      </c>
    </row>
    <row r="106" customFormat="false" ht="15" hidden="false" customHeight="true" outlineLevel="0" collapsed="false">
      <c r="A106" s="8" t="n">
        <v>104</v>
      </c>
      <c r="B106" s="28" t="n">
        <v>45599</v>
      </c>
      <c r="C106" s="8" t="s">
        <v>0</v>
      </c>
      <c r="D106" s="5" t="n">
        <v>130.9</v>
      </c>
      <c r="E106" s="5" t="n">
        <v>135.2</v>
      </c>
      <c r="F106" s="5" t="n">
        <v>130</v>
      </c>
      <c r="G106" s="5" t="n">
        <v>135.2</v>
      </c>
      <c r="H106" s="5" t="n">
        <v>130.9</v>
      </c>
      <c r="I106" s="5" t="n">
        <v>135.1</v>
      </c>
      <c r="K106" s="29" t="n">
        <v>8.07</v>
      </c>
      <c r="L106" s="30" t="n">
        <v>61648</v>
      </c>
    </row>
    <row r="107" customFormat="false" ht="15" hidden="false" customHeight="true" outlineLevel="0" collapsed="false">
      <c r="A107" s="8" t="n">
        <v>105</v>
      </c>
      <c r="B107" s="28" t="n">
        <v>45596</v>
      </c>
      <c r="C107" s="8" t="s">
        <v>0</v>
      </c>
      <c r="D107" s="5" t="n">
        <v>135.1</v>
      </c>
      <c r="E107" s="5" t="n">
        <v>139.7</v>
      </c>
      <c r="F107" s="5" t="n">
        <v>130.1</v>
      </c>
      <c r="G107" s="5" t="n">
        <v>138.5</v>
      </c>
      <c r="H107" s="5" t="n">
        <v>135.1</v>
      </c>
      <c r="I107" s="5" t="n">
        <v>138.5</v>
      </c>
      <c r="K107" s="29" t="n">
        <v>11.053</v>
      </c>
      <c r="L107" s="30" t="n">
        <v>81810</v>
      </c>
    </row>
    <row r="108" customFormat="false" ht="15" hidden="false" customHeight="true" outlineLevel="0" collapsed="false">
      <c r="A108" s="8" t="n">
        <v>106</v>
      </c>
      <c r="B108" s="28" t="n">
        <v>45595</v>
      </c>
      <c r="C108" s="8" t="s">
        <v>0</v>
      </c>
      <c r="D108" s="5" t="n">
        <v>138.5</v>
      </c>
      <c r="E108" s="5" t="n">
        <v>139.5</v>
      </c>
      <c r="F108" s="5" t="n">
        <v>127.6</v>
      </c>
      <c r="G108" s="5" t="n">
        <v>129.1</v>
      </c>
      <c r="H108" s="5" t="n">
        <v>138.5</v>
      </c>
      <c r="I108" s="5" t="n">
        <v>127</v>
      </c>
      <c r="K108" s="29" t="n">
        <v>9.264</v>
      </c>
      <c r="L108" s="30" t="n">
        <v>66888</v>
      </c>
    </row>
    <row r="109" customFormat="false" ht="15" hidden="false" customHeight="true" outlineLevel="0" collapsed="false">
      <c r="A109" s="8" t="n">
        <v>107</v>
      </c>
      <c r="B109" s="28" t="n">
        <v>45594</v>
      </c>
      <c r="C109" s="8" t="s">
        <v>0</v>
      </c>
      <c r="D109" s="5" t="n">
        <v>127</v>
      </c>
      <c r="E109" s="5" t="n">
        <v>129.8</v>
      </c>
      <c r="F109" s="5" t="n">
        <v>119</v>
      </c>
      <c r="G109" s="5" t="n">
        <v>119</v>
      </c>
      <c r="H109" s="5" t="n">
        <v>127</v>
      </c>
      <c r="I109" s="5" t="n">
        <v>114.7</v>
      </c>
      <c r="K109" s="29" t="n">
        <v>16.384</v>
      </c>
      <c r="L109" s="30" t="n">
        <v>129009</v>
      </c>
    </row>
    <row r="110" customFormat="false" ht="15" hidden="false" customHeight="true" outlineLevel="0" collapsed="false">
      <c r="A110" s="8" t="n">
        <v>108</v>
      </c>
      <c r="B110" s="28" t="n">
        <v>45593</v>
      </c>
      <c r="C110" s="8" t="s">
        <v>0</v>
      </c>
      <c r="D110" s="5" t="n">
        <v>114.7</v>
      </c>
      <c r="E110" s="5" t="n">
        <v>122.1</v>
      </c>
      <c r="F110" s="5" t="n">
        <v>112</v>
      </c>
      <c r="G110" s="5" t="n">
        <v>122.1</v>
      </c>
      <c r="H110" s="5" t="n">
        <v>114.7</v>
      </c>
      <c r="I110" s="5" t="n">
        <v>117</v>
      </c>
      <c r="K110" s="29" t="n">
        <v>2.698</v>
      </c>
      <c r="L110" s="30" t="n">
        <v>23525</v>
      </c>
    </row>
    <row r="111" customFormat="false" ht="15" hidden="false" customHeight="true" outlineLevel="0" collapsed="false">
      <c r="A111" s="8" t="n">
        <v>109</v>
      </c>
      <c r="B111" s="28" t="n">
        <v>45592</v>
      </c>
      <c r="C111" s="8" t="s">
        <v>0</v>
      </c>
      <c r="D111" s="5" t="n">
        <v>117</v>
      </c>
      <c r="E111" s="5" t="n">
        <v>121.7</v>
      </c>
      <c r="F111" s="5" t="n">
        <v>115</v>
      </c>
      <c r="G111" s="5" t="n">
        <v>121</v>
      </c>
      <c r="H111" s="5" t="n">
        <v>117</v>
      </c>
      <c r="I111" s="5" t="n">
        <v>121</v>
      </c>
      <c r="K111" s="29" t="n">
        <v>2.278</v>
      </c>
      <c r="L111" s="30" t="n">
        <v>19474</v>
      </c>
    </row>
    <row r="112" customFormat="false" ht="15" hidden="false" customHeight="true" outlineLevel="0" collapsed="false">
      <c r="A112" s="8" t="n">
        <v>110</v>
      </c>
      <c r="B112" s="28" t="n">
        <v>45589</v>
      </c>
      <c r="C112" s="8" t="s">
        <v>0</v>
      </c>
      <c r="D112" s="5" t="n">
        <v>121</v>
      </c>
      <c r="E112" s="5" t="n">
        <v>124</v>
      </c>
      <c r="F112" s="5" t="n">
        <v>118.9</v>
      </c>
      <c r="G112" s="5" t="n">
        <v>124</v>
      </c>
      <c r="H112" s="5" t="n">
        <v>121</v>
      </c>
      <c r="I112" s="5" t="n">
        <v>121.3</v>
      </c>
      <c r="K112" s="29" t="n">
        <v>2.15</v>
      </c>
      <c r="L112" s="30" t="n">
        <v>17768</v>
      </c>
    </row>
    <row r="113" customFormat="false" ht="15" hidden="false" customHeight="true" outlineLevel="0" collapsed="false">
      <c r="A113" s="8" t="n">
        <v>111</v>
      </c>
      <c r="B113" s="28" t="n">
        <v>45588</v>
      </c>
      <c r="C113" s="8" t="s">
        <v>0</v>
      </c>
      <c r="D113" s="5" t="n">
        <v>121.3</v>
      </c>
      <c r="E113" s="5" t="n">
        <v>124</v>
      </c>
      <c r="F113" s="5" t="n">
        <v>120.7</v>
      </c>
      <c r="G113" s="5" t="n">
        <v>122</v>
      </c>
      <c r="H113" s="5" t="n">
        <v>121.3</v>
      </c>
      <c r="I113" s="5" t="n">
        <v>120.5</v>
      </c>
      <c r="K113" s="29" t="n">
        <v>2.292</v>
      </c>
      <c r="L113" s="30" t="n">
        <v>18893</v>
      </c>
    </row>
    <row r="114" customFormat="false" ht="15" hidden="false" customHeight="true" outlineLevel="0" collapsed="false">
      <c r="A114" s="8" t="n">
        <v>112</v>
      </c>
      <c r="B114" s="28" t="n">
        <v>45587</v>
      </c>
      <c r="C114" s="8" t="s">
        <v>0</v>
      </c>
      <c r="D114" s="5" t="n">
        <v>120.5</v>
      </c>
      <c r="E114" s="5" t="n">
        <v>128.6</v>
      </c>
      <c r="F114" s="5" t="n">
        <v>119.4</v>
      </c>
      <c r="G114" s="5" t="n">
        <v>120.4</v>
      </c>
      <c r="H114" s="5" t="n">
        <v>120.5</v>
      </c>
      <c r="I114" s="5" t="n">
        <v>119</v>
      </c>
      <c r="K114" s="29" t="n">
        <v>4.606</v>
      </c>
      <c r="L114" s="30" t="n">
        <v>38228</v>
      </c>
    </row>
    <row r="115" customFormat="false" ht="15" hidden="false" customHeight="true" outlineLevel="0" collapsed="false">
      <c r="A115" s="8" t="n">
        <v>113</v>
      </c>
      <c r="B115" s="28" t="n">
        <v>45586</v>
      </c>
      <c r="C115" s="8" t="s">
        <v>0</v>
      </c>
      <c r="D115" s="5" t="n">
        <v>119</v>
      </c>
      <c r="E115" s="5" t="n">
        <v>126.9</v>
      </c>
      <c r="F115" s="5" t="n">
        <v>117.7</v>
      </c>
      <c r="G115" s="5" t="n">
        <v>124</v>
      </c>
      <c r="H115" s="5" t="n">
        <v>119</v>
      </c>
      <c r="I115" s="5" t="n">
        <v>121.4</v>
      </c>
      <c r="K115" s="29" t="n">
        <v>6.33</v>
      </c>
      <c r="L115" s="30" t="n">
        <v>53197</v>
      </c>
    </row>
    <row r="116" customFormat="false" ht="15" hidden="false" customHeight="true" outlineLevel="0" collapsed="false">
      <c r="A116" s="8" t="n">
        <v>114</v>
      </c>
      <c r="B116" s="28" t="n">
        <v>45585</v>
      </c>
      <c r="C116" s="8" t="s">
        <v>0</v>
      </c>
      <c r="D116" s="5" t="n">
        <v>121.4</v>
      </c>
      <c r="E116" s="5" t="n">
        <v>131.1</v>
      </c>
      <c r="F116" s="5" t="n">
        <v>120</v>
      </c>
      <c r="G116" s="5" t="n">
        <v>130.9</v>
      </c>
      <c r="H116" s="5" t="n">
        <v>121.4</v>
      </c>
      <c r="I116" s="5" t="n">
        <v>130.8</v>
      </c>
      <c r="K116" s="29" t="n">
        <v>2.814</v>
      </c>
      <c r="L116" s="30" t="n">
        <v>23179</v>
      </c>
    </row>
    <row r="117" customFormat="false" ht="15" hidden="false" customHeight="true" outlineLevel="0" collapsed="false">
      <c r="A117" s="8" t="n">
        <v>115</v>
      </c>
      <c r="B117" s="28" t="n">
        <v>45582</v>
      </c>
      <c r="C117" s="8" t="s">
        <v>0</v>
      </c>
      <c r="D117" s="5" t="n">
        <v>130.8</v>
      </c>
      <c r="E117" s="5" t="n">
        <v>137.5</v>
      </c>
      <c r="F117" s="5" t="n">
        <v>130</v>
      </c>
      <c r="G117" s="5" t="n">
        <v>136.9</v>
      </c>
      <c r="H117" s="5" t="n">
        <v>130.8</v>
      </c>
      <c r="I117" s="5" t="n">
        <v>132.2</v>
      </c>
      <c r="K117" s="29" t="n">
        <v>2.615</v>
      </c>
      <c r="L117" s="30" t="n">
        <v>19995</v>
      </c>
    </row>
    <row r="118" customFormat="false" ht="15" hidden="false" customHeight="true" outlineLevel="0" collapsed="false">
      <c r="A118" s="8" t="n">
        <v>116</v>
      </c>
      <c r="B118" s="28" t="n">
        <v>45581</v>
      </c>
      <c r="C118" s="8" t="s">
        <v>0</v>
      </c>
      <c r="D118" s="5" t="n">
        <v>132.2</v>
      </c>
      <c r="E118" s="5" t="n">
        <v>141</v>
      </c>
      <c r="F118" s="5" t="n">
        <v>128</v>
      </c>
      <c r="G118" s="5" t="n">
        <v>140.9</v>
      </c>
      <c r="H118" s="5" t="n">
        <v>132.2</v>
      </c>
      <c r="I118" s="5" t="n">
        <v>141</v>
      </c>
      <c r="K118" s="29" t="n">
        <v>6.026</v>
      </c>
      <c r="L118" s="30" t="n">
        <v>45584</v>
      </c>
    </row>
    <row r="119" customFormat="false" ht="15" hidden="false" customHeight="true" outlineLevel="0" collapsed="false">
      <c r="A119" s="8" t="n">
        <v>117</v>
      </c>
      <c r="B119" s="28" t="n">
        <v>45580</v>
      </c>
      <c r="C119" s="8" t="s">
        <v>0</v>
      </c>
      <c r="D119" s="5" t="n">
        <v>141</v>
      </c>
      <c r="E119" s="5" t="n">
        <v>145</v>
      </c>
      <c r="F119" s="5" t="n">
        <v>135.6</v>
      </c>
      <c r="G119" s="5" t="n">
        <v>136.6</v>
      </c>
      <c r="H119" s="5" t="n">
        <v>141</v>
      </c>
      <c r="I119" s="5" t="n">
        <v>137.4</v>
      </c>
      <c r="K119" s="29" t="n">
        <v>5.399</v>
      </c>
      <c r="L119" s="30" t="n">
        <v>38288</v>
      </c>
    </row>
    <row r="120" customFormat="false" ht="15" hidden="false" customHeight="true" outlineLevel="0" collapsed="false">
      <c r="A120" s="8" t="n">
        <v>118</v>
      </c>
      <c r="B120" s="28" t="n">
        <v>45579</v>
      </c>
      <c r="C120" s="8" t="s">
        <v>0</v>
      </c>
      <c r="D120" s="5" t="n">
        <v>137.4</v>
      </c>
      <c r="E120" s="5" t="n">
        <v>138.9</v>
      </c>
      <c r="F120" s="5" t="n">
        <v>137.2</v>
      </c>
      <c r="G120" s="5" t="n">
        <v>138</v>
      </c>
      <c r="H120" s="5" t="n">
        <v>137.4</v>
      </c>
      <c r="I120" s="5" t="n">
        <v>137.3</v>
      </c>
      <c r="K120" s="29" t="n">
        <v>1.028</v>
      </c>
      <c r="L120" s="30" t="n">
        <v>7484</v>
      </c>
    </row>
    <row r="121" customFormat="false" ht="15" hidden="false" customHeight="true" outlineLevel="0" collapsed="false">
      <c r="A121" s="8" t="n">
        <v>119</v>
      </c>
      <c r="B121" s="28" t="n">
        <v>45574</v>
      </c>
      <c r="C121" s="8" t="s">
        <v>0</v>
      </c>
      <c r="D121" s="5" t="n">
        <v>137.3</v>
      </c>
      <c r="E121" s="5" t="n">
        <v>139</v>
      </c>
      <c r="F121" s="5" t="n">
        <v>136.3</v>
      </c>
      <c r="G121" s="5" t="n">
        <v>136.4</v>
      </c>
      <c r="H121" s="5" t="n">
        <v>137.3</v>
      </c>
      <c r="I121" s="5" t="n">
        <v>136.1</v>
      </c>
      <c r="K121" s="29" t="n">
        <v>2.001</v>
      </c>
      <c r="L121" s="30" t="n">
        <v>14576</v>
      </c>
    </row>
    <row r="122" customFormat="false" ht="15" hidden="false" customHeight="true" outlineLevel="0" collapsed="false">
      <c r="A122" s="8" t="n">
        <v>120</v>
      </c>
      <c r="B122" s="28" t="n">
        <v>45573</v>
      </c>
      <c r="C122" s="8" t="s">
        <v>0</v>
      </c>
      <c r="D122" s="5" t="n">
        <v>136.1</v>
      </c>
      <c r="E122" s="5" t="n">
        <v>138.5</v>
      </c>
      <c r="F122" s="5" t="n">
        <v>135</v>
      </c>
      <c r="G122" s="5" t="n">
        <v>138.4</v>
      </c>
      <c r="H122" s="5" t="n">
        <v>136.1</v>
      </c>
      <c r="I122" s="5" t="n">
        <v>138.5</v>
      </c>
      <c r="K122" s="29" t="n">
        <v>1.036</v>
      </c>
      <c r="L122" s="30" t="n">
        <v>7612</v>
      </c>
    </row>
    <row r="123" customFormat="false" ht="15" hidden="false" customHeight="true" outlineLevel="0" collapsed="false">
      <c r="A123" s="8" t="n">
        <v>121</v>
      </c>
      <c r="B123" s="28" t="n">
        <v>45572</v>
      </c>
      <c r="C123" s="8" t="s">
        <v>0</v>
      </c>
      <c r="D123" s="5" t="n">
        <v>138.5</v>
      </c>
      <c r="E123" s="5" t="n">
        <v>142</v>
      </c>
      <c r="F123" s="5" t="n">
        <v>137</v>
      </c>
      <c r="G123" s="5" t="n">
        <v>142</v>
      </c>
      <c r="H123" s="5" t="n">
        <v>138.5</v>
      </c>
      <c r="I123" s="5" t="n">
        <v>141.2</v>
      </c>
      <c r="K123" s="29" t="n">
        <v>1.68</v>
      </c>
      <c r="L123" s="30" t="n">
        <v>12132</v>
      </c>
    </row>
    <row r="124" customFormat="false" ht="15" hidden="false" customHeight="true" outlineLevel="0" collapsed="false">
      <c r="A124" s="8" t="n">
        <v>122</v>
      </c>
      <c r="B124" s="28" t="n">
        <v>45571</v>
      </c>
      <c r="C124" s="8" t="s">
        <v>0</v>
      </c>
      <c r="D124" s="5" t="n">
        <v>141.2</v>
      </c>
      <c r="E124" s="5" t="n">
        <v>144</v>
      </c>
      <c r="F124" s="5" t="n">
        <v>140.5</v>
      </c>
      <c r="G124" s="5" t="n">
        <v>140.5</v>
      </c>
      <c r="H124" s="5" t="n">
        <v>141.2</v>
      </c>
      <c r="I124" s="5" t="n">
        <v>142.6</v>
      </c>
      <c r="K124" s="29" t="n">
        <v>0.771</v>
      </c>
      <c r="L124" s="30" t="n">
        <v>5459</v>
      </c>
    </row>
    <row r="125" customFormat="false" ht="15" hidden="false" customHeight="true" outlineLevel="0" collapsed="false">
      <c r="A125" s="8" t="n">
        <v>123</v>
      </c>
      <c r="B125" s="28" t="n">
        <v>45568</v>
      </c>
      <c r="C125" s="8" t="s">
        <v>0</v>
      </c>
      <c r="D125" s="5" t="n">
        <v>142.6</v>
      </c>
      <c r="E125" s="5" t="n">
        <v>145.2</v>
      </c>
      <c r="F125" s="5" t="n">
        <v>137</v>
      </c>
      <c r="G125" s="5" t="n">
        <v>140.1</v>
      </c>
      <c r="H125" s="5" t="n">
        <v>142.6</v>
      </c>
      <c r="I125" s="5" t="n">
        <v>141.8</v>
      </c>
      <c r="K125" s="29" t="n">
        <v>4.144</v>
      </c>
      <c r="L125" s="30" t="n">
        <v>29061</v>
      </c>
    </row>
    <row r="126" customFormat="false" ht="15" hidden="false" customHeight="true" outlineLevel="0" collapsed="false">
      <c r="A126" s="8" t="n">
        <v>124</v>
      </c>
      <c r="B126" s="28" t="n">
        <v>45567</v>
      </c>
      <c r="C126" s="8" t="s">
        <v>0</v>
      </c>
      <c r="D126" s="5" t="n">
        <v>141.8</v>
      </c>
      <c r="E126" s="5" t="n">
        <v>145.5</v>
      </c>
      <c r="F126" s="5" t="n">
        <v>140.1</v>
      </c>
      <c r="G126" s="5" t="n">
        <v>142.6</v>
      </c>
      <c r="H126" s="5" t="n">
        <v>141.8</v>
      </c>
      <c r="I126" s="5" t="n">
        <v>144</v>
      </c>
      <c r="K126" s="29" t="n">
        <v>2.984</v>
      </c>
      <c r="L126" s="30" t="n">
        <v>21045</v>
      </c>
    </row>
    <row r="127" customFormat="false" ht="15" hidden="false" customHeight="true" outlineLevel="0" collapsed="false">
      <c r="A127" s="8" t="n">
        <v>125</v>
      </c>
      <c r="B127" s="28" t="n">
        <v>45566</v>
      </c>
      <c r="C127" s="8" t="s">
        <v>0</v>
      </c>
      <c r="D127" s="5" t="n">
        <v>144</v>
      </c>
      <c r="E127" s="5" t="n">
        <v>145.1</v>
      </c>
      <c r="F127" s="5" t="n">
        <v>143.2</v>
      </c>
      <c r="G127" s="5" t="n">
        <v>144</v>
      </c>
      <c r="H127" s="5" t="n">
        <v>144</v>
      </c>
      <c r="I127" s="5" t="n">
        <v>144.6</v>
      </c>
      <c r="K127" s="29" t="n">
        <v>1.104</v>
      </c>
      <c r="L127" s="30" t="n">
        <v>7665</v>
      </c>
    </row>
    <row r="128" customFormat="false" ht="15" hidden="false" customHeight="true" outlineLevel="0" collapsed="false">
      <c r="A128" s="8" t="n">
        <v>126</v>
      </c>
      <c r="B128" s="28" t="n">
        <v>45565</v>
      </c>
      <c r="C128" s="8" t="s">
        <v>0</v>
      </c>
      <c r="D128" s="5" t="n">
        <v>144.6</v>
      </c>
      <c r="E128" s="5" t="n">
        <v>146.8</v>
      </c>
      <c r="F128" s="5" t="n">
        <v>144.1</v>
      </c>
      <c r="G128" s="5" t="n">
        <v>146.8</v>
      </c>
      <c r="H128" s="5" t="n">
        <v>144.6</v>
      </c>
      <c r="I128" s="5" t="n">
        <v>145.3</v>
      </c>
      <c r="K128" s="29" t="n">
        <v>1.361</v>
      </c>
      <c r="L128" s="30" t="n">
        <v>9413</v>
      </c>
    </row>
    <row r="129" customFormat="false" ht="15" hidden="false" customHeight="true" outlineLevel="0" collapsed="false">
      <c r="A129" s="8" t="n">
        <v>127</v>
      </c>
      <c r="B129" s="28" t="n">
        <v>45564</v>
      </c>
      <c r="C129" s="8" t="s">
        <v>0</v>
      </c>
      <c r="D129" s="5" t="n">
        <v>145.3</v>
      </c>
      <c r="E129" s="5" t="n">
        <v>147.7</v>
      </c>
      <c r="F129" s="5" t="n">
        <v>145</v>
      </c>
      <c r="G129" s="5" t="n">
        <v>145.5</v>
      </c>
      <c r="H129" s="5" t="n">
        <v>145.3</v>
      </c>
      <c r="I129" s="5" t="n">
        <v>145.8</v>
      </c>
      <c r="K129" s="29" t="n">
        <v>2.426</v>
      </c>
      <c r="L129" s="30" t="n">
        <v>16696</v>
      </c>
    </row>
    <row r="130" customFormat="false" ht="15" hidden="false" customHeight="true" outlineLevel="0" collapsed="false">
      <c r="A130" s="8" t="n">
        <v>128</v>
      </c>
      <c r="B130" s="28" t="n">
        <v>45561</v>
      </c>
      <c r="C130" s="8" t="s">
        <v>0</v>
      </c>
      <c r="D130" s="5" t="n">
        <v>145.8</v>
      </c>
      <c r="E130" s="5" t="n">
        <v>146.5</v>
      </c>
      <c r="F130" s="5" t="n">
        <v>144.2</v>
      </c>
      <c r="G130" s="5" t="n">
        <v>145.6</v>
      </c>
      <c r="H130" s="5" t="n">
        <v>145.8</v>
      </c>
      <c r="I130" s="5" t="n">
        <v>145.6</v>
      </c>
      <c r="K130" s="29" t="n">
        <v>1.705</v>
      </c>
      <c r="L130" s="30" t="n">
        <v>11696</v>
      </c>
    </row>
    <row r="131" customFormat="false" ht="15" hidden="false" customHeight="true" outlineLevel="0" collapsed="false">
      <c r="A131" s="8" t="n">
        <v>129</v>
      </c>
      <c r="B131" s="28" t="n">
        <v>45560</v>
      </c>
      <c r="C131" s="8" t="s">
        <v>0</v>
      </c>
      <c r="D131" s="5" t="n">
        <v>145.6</v>
      </c>
      <c r="E131" s="5" t="n">
        <v>150.9</v>
      </c>
      <c r="F131" s="5" t="n">
        <v>143.3</v>
      </c>
      <c r="G131" s="5" t="n">
        <v>150.5</v>
      </c>
      <c r="H131" s="5" t="n">
        <v>145.6</v>
      </c>
      <c r="I131" s="5" t="n">
        <v>150.4</v>
      </c>
      <c r="K131" s="29" t="n">
        <v>4.749</v>
      </c>
      <c r="L131" s="30" t="n">
        <v>32615</v>
      </c>
    </row>
    <row r="132" customFormat="false" ht="15" hidden="false" customHeight="true" outlineLevel="0" collapsed="false">
      <c r="A132" s="8" t="n">
        <v>130</v>
      </c>
      <c r="B132" s="28" t="n">
        <v>45559</v>
      </c>
      <c r="C132" s="8" t="s">
        <v>0</v>
      </c>
      <c r="D132" s="5" t="n">
        <v>150.4</v>
      </c>
      <c r="E132" s="5" t="n">
        <v>153</v>
      </c>
      <c r="F132" s="5" t="n">
        <v>148.2</v>
      </c>
      <c r="G132" s="5" t="n">
        <v>150</v>
      </c>
      <c r="H132" s="5" t="n">
        <v>150.4</v>
      </c>
      <c r="I132" s="5" t="n">
        <v>150.8</v>
      </c>
      <c r="K132" s="29" t="n">
        <v>2.998</v>
      </c>
      <c r="L132" s="30" t="n">
        <v>19936</v>
      </c>
    </row>
    <row r="133" customFormat="false" ht="15" hidden="false" customHeight="true" outlineLevel="0" collapsed="false">
      <c r="A133" s="8" t="n">
        <v>131</v>
      </c>
      <c r="B133" s="28" t="n">
        <v>45558</v>
      </c>
      <c r="C133" s="8" t="s">
        <v>0</v>
      </c>
      <c r="D133" s="5" t="n">
        <v>150.8</v>
      </c>
      <c r="E133" s="5" t="n">
        <v>152.5</v>
      </c>
      <c r="F133" s="5" t="n">
        <v>150</v>
      </c>
      <c r="G133" s="5" t="n">
        <v>151.5</v>
      </c>
      <c r="H133" s="5" t="n">
        <v>150.8</v>
      </c>
      <c r="I133" s="5" t="n">
        <v>151.2</v>
      </c>
      <c r="K133" s="29" t="n">
        <v>3.856</v>
      </c>
      <c r="L133" s="30" t="n">
        <v>25573</v>
      </c>
    </row>
    <row r="134" customFormat="false" ht="15" hidden="false" customHeight="true" outlineLevel="0" collapsed="false">
      <c r="A134" s="8" t="n">
        <v>132</v>
      </c>
      <c r="B134" s="28" t="n">
        <v>45557</v>
      </c>
      <c r="C134" s="8" t="s">
        <v>0</v>
      </c>
      <c r="D134" s="5" t="n">
        <v>151.2</v>
      </c>
      <c r="E134" s="5" t="n">
        <v>154</v>
      </c>
      <c r="F134" s="5" t="n">
        <v>150.5</v>
      </c>
      <c r="G134" s="5" t="n">
        <v>153.5</v>
      </c>
      <c r="H134" s="5" t="n">
        <v>151.2</v>
      </c>
      <c r="I134" s="5" t="n">
        <v>153.5</v>
      </c>
      <c r="K134" s="29" t="n">
        <v>8.799</v>
      </c>
      <c r="L134" s="30" t="n">
        <v>58195</v>
      </c>
    </row>
    <row r="135" customFormat="false" ht="15" hidden="false" customHeight="true" outlineLevel="0" collapsed="false">
      <c r="A135" s="8" t="n">
        <v>133</v>
      </c>
      <c r="B135" s="28" t="n">
        <v>45554</v>
      </c>
      <c r="C135" s="8" t="s">
        <v>0</v>
      </c>
      <c r="D135" s="5" t="n">
        <v>153.5</v>
      </c>
      <c r="E135" s="5" t="n">
        <v>157</v>
      </c>
      <c r="F135" s="5" t="n">
        <v>153</v>
      </c>
      <c r="G135" s="5" t="n">
        <v>153.4</v>
      </c>
      <c r="H135" s="5" t="n">
        <v>153.5</v>
      </c>
      <c r="I135" s="5" t="n">
        <v>153.9</v>
      </c>
      <c r="K135" s="29" t="n">
        <v>5.421</v>
      </c>
      <c r="L135" s="30" t="n">
        <v>35314</v>
      </c>
    </row>
    <row r="136" customFormat="false" ht="15" hidden="false" customHeight="true" outlineLevel="0" collapsed="false">
      <c r="A136" s="8" t="n">
        <v>134</v>
      </c>
      <c r="B136" s="28" t="n">
        <v>45553</v>
      </c>
      <c r="C136" s="8" t="s">
        <v>0</v>
      </c>
      <c r="D136" s="5" t="n">
        <v>153.9</v>
      </c>
      <c r="E136" s="5" t="n">
        <v>157.5</v>
      </c>
      <c r="F136" s="5" t="n">
        <v>153.5</v>
      </c>
      <c r="G136" s="5" t="n">
        <v>153.6</v>
      </c>
      <c r="H136" s="5" t="n">
        <v>153.9</v>
      </c>
      <c r="I136" s="5" t="n">
        <v>155.8</v>
      </c>
      <c r="K136" s="29" t="n">
        <v>5.279</v>
      </c>
      <c r="L136" s="30" t="n">
        <v>34302</v>
      </c>
    </row>
    <row r="137" customFormat="false" ht="15" hidden="false" customHeight="true" outlineLevel="0" collapsed="false">
      <c r="A137" s="8" t="n">
        <v>135</v>
      </c>
      <c r="B137" s="28" t="n">
        <v>45552</v>
      </c>
      <c r="C137" s="8" t="s">
        <v>0</v>
      </c>
      <c r="D137" s="5" t="n">
        <v>155.8</v>
      </c>
      <c r="E137" s="5" t="n">
        <v>158.7</v>
      </c>
      <c r="F137" s="5" t="n">
        <v>155.6</v>
      </c>
      <c r="G137" s="5" t="n">
        <v>156</v>
      </c>
      <c r="H137" s="5" t="n">
        <v>155.8</v>
      </c>
      <c r="I137" s="5" t="n">
        <v>156</v>
      </c>
      <c r="K137" s="29" t="n">
        <v>4.207</v>
      </c>
      <c r="L137" s="30" t="n">
        <v>27003</v>
      </c>
    </row>
    <row r="138" customFormat="false" ht="15" hidden="false" customHeight="true" outlineLevel="0" collapsed="false">
      <c r="A138" s="8" t="n">
        <v>136</v>
      </c>
      <c r="B138" s="28" t="n">
        <v>45550</v>
      </c>
      <c r="C138" s="8" t="s">
        <v>0</v>
      </c>
      <c r="D138" s="5" t="n">
        <v>156</v>
      </c>
      <c r="E138" s="5" t="n">
        <v>162.9</v>
      </c>
      <c r="F138" s="5" t="n">
        <v>154.6</v>
      </c>
      <c r="G138" s="5" t="n">
        <v>156.5</v>
      </c>
      <c r="H138" s="5" t="n">
        <v>156</v>
      </c>
      <c r="I138" s="5" t="n">
        <v>155.1</v>
      </c>
      <c r="K138" s="29" t="n">
        <v>13.441</v>
      </c>
      <c r="L138" s="30" t="n">
        <v>86159</v>
      </c>
    </row>
    <row r="139" customFormat="false" ht="15" hidden="false" customHeight="true" outlineLevel="0" collapsed="false">
      <c r="A139" s="8" t="n">
        <v>137</v>
      </c>
      <c r="B139" s="28" t="n">
        <v>45547</v>
      </c>
      <c r="C139" s="8" t="s">
        <v>0</v>
      </c>
      <c r="D139" s="5" t="n">
        <v>155.1</v>
      </c>
      <c r="E139" s="5" t="n">
        <v>156.9</v>
      </c>
      <c r="F139" s="5" t="n">
        <v>152.8</v>
      </c>
      <c r="G139" s="5" t="n">
        <v>153.2</v>
      </c>
      <c r="H139" s="5" t="n">
        <v>155.1</v>
      </c>
      <c r="I139" s="5" t="n">
        <v>153.2</v>
      </c>
      <c r="K139" s="29" t="n">
        <v>8.561</v>
      </c>
      <c r="L139" s="30" t="n">
        <v>55195</v>
      </c>
    </row>
    <row r="140" customFormat="false" ht="15" hidden="false" customHeight="true" outlineLevel="0" collapsed="false">
      <c r="A140" s="8" t="n">
        <v>138</v>
      </c>
      <c r="B140" s="28" t="n">
        <v>45546</v>
      </c>
      <c r="C140" s="8" t="s">
        <v>0</v>
      </c>
      <c r="D140" s="5" t="n">
        <v>153.2</v>
      </c>
      <c r="E140" s="5" t="n">
        <v>157</v>
      </c>
      <c r="F140" s="5" t="n">
        <v>153</v>
      </c>
      <c r="G140" s="5" t="n">
        <v>153.9</v>
      </c>
      <c r="H140" s="5" t="n">
        <v>153.2</v>
      </c>
      <c r="I140" s="5" t="n">
        <v>153.7</v>
      </c>
      <c r="K140" s="29" t="n">
        <v>4.488</v>
      </c>
      <c r="L140" s="30" t="n">
        <v>29296</v>
      </c>
    </row>
    <row r="141" customFormat="false" ht="15" hidden="false" customHeight="true" outlineLevel="0" collapsed="false">
      <c r="A141" s="8" t="n">
        <v>139</v>
      </c>
      <c r="B141" s="28" t="n">
        <v>45545</v>
      </c>
      <c r="C141" s="8" t="s">
        <v>0</v>
      </c>
      <c r="D141" s="5" t="n">
        <v>153.7</v>
      </c>
      <c r="E141" s="5" t="n">
        <v>157.6</v>
      </c>
      <c r="F141" s="5" t="n">
        <v>152</v>
      </c>
      <c r="G141" s="5" t="n">
        <v>155</v>
      </c>
      <c r="H141" s="5" t="n">
        <v>153.7</v>
      </c>
      <c r="I141" s="5" t="n">
        <v>156.3</v>
      </c>
      <c r="K141" s="29" t="n">
        <v>7.679</v>
      </c>
      <c r="L141" s="30" t="n">
        <v>49964</v>
      </c>
    </row>
    <row r="142" customFormat="false" ht="15" hidden="false" customHeight="true" outlineLevel="0" collapsed="false">
      <c r="A142" s="8" t="n">
        <v>140</v>
      </c>
      <c r="B142" s="28" t="n">
        <v>45544</v>
      </c>
      <c r="C142" s="8" t="s">
        <v>0</v>
      </c>
      <c r="D142" s="5" t="n">
        <v>156.3</v>
      </c>
      <c r="E142" s="5" t="n">
        <v>158.5</v>
      </c>
      <c r="F142" s="5" t="n">
        <v>155.4</v>
      </c>
      <c r="G142" s="5" t="n">
        <v>158.5</v>
      </c>
      <c r="H142" s="5" t="n">
        <v>156.3</v>
      </c>
      <c r="I142" s="5" t="n">
        <v>159.3</v>
      </c>
      <c r="K142" s="29" t="n">
        <v>7.198</v>
      </c>
      <c r="L142" s="30" t="n">
        <v>46051</v>
      </c>
    </row>
    <row r="143" customFormat="false" ht="15" hidden="false" customHeight="true" outlineLevel="0" collapsed="false">
      <c r="A143" s="8" t="n">
        <v>141</v>
      </c>
      <c r="B143" s="28" t="n">
        <v>45543</v>
      </c>
      <c r="C143" s="8" t="s">
        <v>0</v>
      </c>
      <c r="D143" s="5" t="n">
        <v>159.3</v>
      </c>
      <c r="E143" s="5" t="n">
        <v>162.9</v>
      </c>
      <c r="F143" s="5" t="n">
        <v>154</v>
      </c>
      <c r="G143" s="5" t="n">
        <v>154</v>
      </c>
      <c r="H143" s="5" t="n">
        <v>159.3</v>
      </c>
      <c r="I143" s="5" t="n">
        <v>154.7</v>
      </c>
      <c r="K143" s="29" t="n">
        <v>10.148</v>
      </c>
      <c r="L143" s="30" t="n">
        <v>63705</v>
      </c>
    </row>
    <row r="144" customFormat="false" ht="15" hidden="false" customHeight="true" outlineLevel="0" collapsed="false">
      <c r="A144" s="8" t="n">
        <v>142</v>
      </c>
      <c r="B144" s="28" t="n">
        <v>45540</v>
      </c>
      <c r="C144" s="8" t="s">
        <v>0</v>
      </c>
      <c r="D144" s="5" t="n">
        <v>154.7</v>
      </c>
      <c r="E144" s="5" t="n">
        <v>156.8</v>
      </c>
      <c r="F144" s="5" t="n">
        <v>152.1</v>
      </c>
      <c r="G144" s="5" t="n">
        <v>156.8</v>
      </c>
      <c r="H144" s="5" t="n">
        <v>154.7</v>
      </c>
      <c r="I144" s="5" t="n">
        <v>156.8</v>
      </c>
      <c r="K144" s="29" t="n">
        <v>5.075</v>
      </c>
      <c r="L144" s="30" t="n">
        <v>32803</v>
      </c>
    </row>
    <row r="145" customFormat="false" ht="15" hidden="false" customHeight="true" outlineLevel="0" collapsed="false">
      <c r="A145" s="8" t="n">
        <v>143</v>
      </c>
      <c r="B145" s="28" t="n">
        <v>45539</v>
      </c>
      <c r="C145" s="8" t="s">
        <v>0</v>
      </c>
      <c r="D145" s="5" t="n">
        <v>156.8</v>
      </c>
      <c r="E145" s="5" t="n">
        <v>162.8</v>
      </c>
      <c r="F145" s="5" t="n">
        <v>153</v>
      </c>
      <c r="G145" s="5" t="n">
        <v>162.8</v>
      </c>
      <c r="H145" s="5" t="n">
        <v>156.8</v>
      </c>
      <c r="I145" s="5" t="n">
        <v>161.6</v>
      </c>
      <c r="K145" s="29" t="n">
        <v>9.101</v>
      </c>
      <c r="L145" s="30" t="n">
        <v>58040</v>
      </c>
    </row>
    <row r="146" customFormat="false" ht="15" hidden="false" customHeight="true" outlineLevel="0" collapsed="false">
      <c r="A146" s="8" t="n">
        <v>144</v>
      </c>
      <c r="B146" s="28" t="n">
        <v>45538</v>
      </c>
      <c r="C146" s="8" t="s">
        <v>0</v>
      </c>
      <c r="D146" s="5" t="n">
        <v>161.6</v>
      </c>
      <c r="E146" s="5" t="n">
        <v>163.8</v>
      </c>
      <c r="F146" s="5" t="n">
        <v>161</v>
      </c>
      <c r="G146" s="5" t="n">
        <v>162.4</v>
      </c>
      <c r="H146" s="5" t="n">
        <v>161.6</v>
      </c>
      <c r="I146" s="5" t="n">
        <v>161.1</v>
      </c>
      <c r="K146" s="29" t="n">
        <v>6.928</v>
      </c>
      <c r="L146" s="30" t="n">
        <v>42873</v>
      </c>
    </row>
    <row r="147" customFormat="false" ht="15" hidden="false" customHeight="true" outlineLevel="0" collapsed="false">
      <c r="A147" s="8" t="n">
        <v>145</v>
      </c>
      <c r="B147" s="28" t="n">
        <v>45537</v>
      </c>
      <c r="C147" s="8" t="s">
        <v>0</v>
      </c>
      <c r="D147" s="5" t="n">
        <v>161.1</v>
      </c>
      <c r="E147" s="5" t="n">
        <v>164.5</v>
      </c>
      <c r="F147" s="5" t="n">
        <v>160.1</v>
      </c>
      <c r="G147" s="5" t="n">
        <v>161</v>
      </c>
      <c r="H147" s="5" t="n">
        <v>161.1</v>
      </c>
      <c r="I147" s="5" t="n">
        <v>161.5</v>
      </c>
      <c r="K147" s="29" t="n">
        <v>14.3</v>
      </c>
      <c r="L147" s="30" t="n">
        <v>88763</v>
      </c>
    </row>
    <row r="148" customFormat="false" ht="15" hidden="false" customHeight="true" outlineLevel="0" collapsed="false">
      <c r="A148" s="8" t="n">
        <v>146</v>
      </c>
      <c r="B148" s="28" t="n">
        <v>45536</v>
      </c>
      <c r="C148" s="8" t="s">
        <v>0</v>
      </c>
      <c r="D148" s="5" t="n">
        <v>161.5</v>
      </c>
      <c r="E148" s="5" t="n">
        <v>167</v>
      </c>
      <c r="F148" s="5" t="n">
        <v>160.1</v>
      </c>
      <c r="G148" s="5" t="n">
        <v>163</v>
      </c>
      <c r="H148" s="5" t="n">
        <v>161.5</v>
      </c>
      <c r="I148" s="5" t="n">
        <v>163</v>
      </c>
      <c r="K148" s="29" t="n">
        <v>17.023</v>
      </c>
      <c r="L148" s="30" t="n">
        <v>105408</v>
      </c>
    </row>
    <row r="149" customFormat="false" ht="15" hidden="false" customHeight="true" outlineLevel="0" collapsed="false">
      <c r="A149" s="8" t="n">
        <v>147</v>
      </c>
      <c r="B149" s="28" t="n">
        <v>45533</v>
      </c>
      <c r="C149" s="8" t="s">
        <v>0</v>
      </c>
      <c r="D149" s="5" t="n">
        <v>163</v>
      </c>
      <c r="E149" s="5" t="n">
        <v>165</v>
      </c>
      <c r="F149" s="5" t="n">
        <v>160</v>
      </c>
      <c r="G149" s="5" t="n">
        <v>161</v>
      </c>
      <c r="H149" s="5" t="n">
        <v>163</v>
      </c>
      <c r="I149" s="5" t="n">
        <v>161.5</v>
      </c>
      <c r="K149" s="29" t="n">
        <v>15.362</v>
      </c>
      <c r="L149" s="30" t="n">
        <v>94244</v>
      </c>
    </row>
    <row r="150" customFormat="false" ht="15" hidden="false" customHeight="true" outlineLevel="0" collapsed="false">
      <c r="A150" s="8" t="n">
        <v>148</v>
      </c>
      <c r="B150" s="28" t="n">
        <v>45532</v>
      </c>
      <c r="C150" s="8" t="s">
        <v>0</v>
      </c>
      <c r="D150" s="5" t="n">
        <v>161.5</v>
      </c>
      <c r="E150" s="5" t="n">
        <v>164</v>
      </c>
      <c r="F150" s="5" t="n">
        <v>150.3</v>
      </c>
      <c r="G150" s="5" t="n">
        <v>155</v>
      </c>
      <c r="H150" s="5" t="n">
        <v>161.5</v>
      </c>
      <c r="I150" s="5" t="n">
        <v>154.9</v>
      </c>
      <c r="K150" s="29" t="n">
        <v>23.995</v>
      </c>
      <c r="L150" s="30" t="n">
        <v>148578</v>
      </c>
    </row>
    <row r="151" customFormat="false" ht="15" hidden="false" customHeight="true" outlineLevel="0" collapsed="false">
      <c r="A151" s="8" t="n">
        <v>149</v>
      </c>
      <c r="B151" s="28" t="n">
        <v>45531</v>
      </c>
      <c r="C151" s="8" t="s">
        <v>0</v>
      </c>
      <c r="D151" s="5" t="n">
        <v>154.9</v>
      </c>
      <c r="E151" s="5" t="n">
        <v>159</v>
      </c>
      <c r="F151" s="5" t="n">
        <v>152.8</v>
      </c>
      <c r="G151" s="5" t="n">
        <v>158.1</v>
      </c>
      <c r="H151" s="5" t="n">
        <v>154.9</v>
      </c>
      <c r="I151" s="5" t="n">
        <v>157.5</v>
      </c>
      <c r="K151" s="29" t="n">
        <v>10.369</v>
      </c>
      <c r="L151" s="30" t="n">
        <v>66937</v>
      </c>
    </row>
    <row r="152" customFormat="false" ht="15" hidden="false" customHeight="true" outlineLevel="0" collapsed="false">
      <c r="A152" s="8" t="n">
        <v>150</v>
      </c>
      <c r="B152" s="28" t="n">
        <v>45529</v>
      </c>
      <c r="C152" s="8" t="s">
        <v>0</v>
      </c>
      <c r="D152" s="5" t="n">
        <v>157.5</v>
      </c>
      <c r="E152" s="5" t="n">
        <v>161.9</v>
      </c>
      <c r="F152" s="5" t="n">
        <v>149.9</v>
      </c>
      <c r="G152" s="5" t="n">
        <v>152</v>
      </c>
      <c r="H152" s="5" t="n">
        <v>157.5</v>
      </c>
      <c r="I152" s="5" t="n">
        <v>147.3</v>
      </c>
      <c r="K152" s="29" t="n">
        <v>17.341</v>
      </c>
      <c r="L152" s="30" t="n">
        <v>110099</v>
      </c>
    </row>
    <row r="153" customFormat="false" ht="15" hidden="false" customHeight="true" outlineLevel="0" collapsed="false">
      <c r="A153" s="8" t="n">
        <v>151</v>
      </c>
      <c r="B153" s="28" t="n">
        <v>45526</v>
      </c>
      <c r="C153" s="8" t="s">
        <v>0</v>
      </c>
      <c r="D153" s="5" t="n">
        <v>147.3</v>
      </c>
      <c r="E153" s="5" t="n">
        <v>151.9</v>
      </c>
      <c r="F153" s="5" t="n">
        <v>145.4</v>
      </c>
      <c r="G153" s="5" t="n">
        <v>145.4</v>
      </c>
      <c r="H153" s="5" t="n">
        <v>147.3</v>
      </c>
      <c r="I153" s="5" t="n">
        <v>149.8</v>
      </c>
      <c r="K153" s="29" t="n">
        <v>16.644</v>
      </c>
      <c r="L153" s="30" t="n">
        <v>112995</v>
      </c>
    </row>
    <row r="154" customFormat="false" ht="15" hidden="false" customHeight="true" outlineLevel="0" collapsed="false">
      <c r="A154" s="8" t="n">
        <v>152</v>
      </c>
      <c r="B154" s="28" t="n">
        <v>45525</v>
      </c>
      <c r="C154" s="8" t="s">
        <v>0</v>
      </c>
      <c r="D154" s="5" t="n">
        <v>149.8</v>
      </c>
      <c r="E154" s="5" t="n">
        <v>150.1</v>
      </c>
      <c r="F154" s="5" t="n">
        <v>149.8</v>
      </c>
      <c r="G154" s="5" t="n">
        <v>150</v>
      </c>
      <c r="H154" s="5" t="n">
        <v>149.8</v>
      </c>
      <c r="I154" s="5" t="n">
        <v>154.4</v>
      </c>
      <c r="K154" s="29" t="n">
        <v>1.354</v>
      </c>
      <c r="L154" s="30" t="n">
        <v>9036</v>
      </c>
    </row>
    <row r="155" customFormat="false" ht="15" hidden="false" customHeight="true" outlineLevel="0" collapsed="false">
      <c r="A155" s="8" t="n">
        <v>153</v>
      </c>
      <c r="B155" s="28" t="n">
        <v>45524</v>
      </c>
      <c r="C155" s="8" t="s">
        <v>0</v>
      </c>
      <c r="D155" s="5" t="n">
        <v>154.4</v>
      </c>
      <c r="E155" s="5" t="n">
        <v>159.1</v>
      </c>
      <c r="F155" s="5" t="n">
        <v>154.4</v>
      </c>
      <c r="G155" s="5" t="n">
        <v>159.1</v>
      </c>
      <c r="H155" s="5" t="n">
        <v>154.4</v>
      </c>
      <c r="I155" s="5" t="n">
        <v>159.1</v>
      </c>
      <c r="K155" s="29" t="n">
        <v>6.458</v>
      </c>
      <c r="L155" s="30" t="n">
        <v>41824</v>
      </c>
    </row>
    <row r="156" customFormat="false" ht="15" hidden="false" customHeight="true" outlineLevel="0" collapsed="false">
      <c r="A156" s="8" t="n">
        <v>154</v>
      </c>
      <c r="B156" s="28" t="n">
        <v>45523</v>
      </c>
      <c r="C156" s="8" t="s">
        <v>0</v>
      </c>
      <c r="D156" s="5" t="n">
        <v>159.1</v>
      </c>
      <c r="E156" s="5" t="n">
        <v>163.8</v>
      </c>
      <c r="F156" s="5" t="n">
        <v>158.9</v>
      </c>
      <c r="G156" s="5" t="n">
        <v>163.8</v>
      </c>
      <c r="H156" s="5" t="n">
        <v>159.1</v>
      </c>
      <c r="I156" s="5" t="n">
        <v>163.8</v>
      </c>
      <c r="K156" s="29" t="n">
        <v>16.868</v>
      </c>
      <c r="L156" s="30" t="n">
        <v>106019</v>
      </c>
    </row>
    <row r="157" customFormat="false" ht="15" hidden="false" customHeight="true" outlineLevel="0" collapsed="false">
      <c r="A157" s="8" t="n">
        <v>155</v>
      </c>
      <c r="B157" s="28" t="n">
        <v>45522</v>
      </c>
      <c r="C157" s="8" t="s">
        <v>0</v>
      </c>
      <c r="D157" s="5" t="n">
        <v>163.8</v>
      </c>
      <c r="E157" s="5" t="n">
        <v>168.8</v>
      </c>
      <c r="F157" s="5" t="n">
        <v>163.8</v>
      </c>
      <c r="G157" s="5" t="n">
        <v>165.6</v>
      </c>
      <c r="H157" s="5" t="n">
        <v>163.8</v>
      </c>
      <c r="I157" s="5" t="n">
        <v>168.8</v>
      </c>
      <c r="K157" s="29" t="n">
        <v>7.426</v>
      </c>
      <c r="L157" s="30" t="n">
        <v>45336</v>
      </c>
    </row>
    <row r="158" customFormat="false" ht="15" hidden="false" customHeight="true" outlineLevel="0" collapsed="false">
      <c r="A158" s="8" t="n">
        <v>156</v>
      </c>
      <c r="B158" s="28" t="n">
        <v>45519</v>
      </c>
      <c r="C158" s="8" t="s">
        <v>0</v>
      </c>
      <c r="D158" s="5" t="n">
        <v>168.8</v>
      </c>
      <c r="E158" s="5" t="n">
        <v>173.7</v>
      </c>
      <c r="F158" s="5" t="n">
        <v>164.9</v>
      </c>
      <c r="G158" s="5" t="n">
        <v>170</v>
      </c>
      <c r="H158" s="5" t="n">
        <v>168.8</v>
      </c>
      <c r="I158" s="5" t="n">
        <v>170</v>
      </c>
      <c r="K158" s="29" t="n">
        <v>12.293</v>
      </c>
      <c r="L158" s="30" t="n">
        <v>72825</v>
      </c>
    </row>
    <row r="159" customFormat="false" ht="15" hidden="false" customHeight="true" outlineLevel="0" collapsed="false">
      <c r="A159" s="8" t="n">
        <v>157</v>
      </c>
      <c r="B159" s="28" t="n">
        <v>45518</v>
      </c>
      <c r="C159" s="8" t="s">
        <v>0</v>
      </c>
      <c r="D159" s="5" t="n">
        <v>170</v>
      </c>
      <c r="E159" s="5" t="n">
        <v>176</v>
      </c>
      <c r="F159" s="5" t="n">
        <v>169.9</v>
      </c>
      <c r="G159" s="5" t="n">
        <v>175</v>
      </c>
      <c r="H159" s="5" t="n">
        <v>170</v>
      </c>
      <c r="I159" s="5" t="n">
        <v>175.1</v>
      </c>
      <c r="K159" s="29" t="n">
        <v>20.215</v>
      </c>
      <c r="L159" s="30" t="n">
        <v>118912</v>
      </c>
    </row>
    <row r="160" customFormat="false" ht="15" hidden="false" customHeight="true" outlineLevel="0" collapsed="false">
      <c r="A160" s="8" t="n">
        <v>158</v>
      </c>
      <c r="B160" s="28" t="n">
        <v>45517</v>
      </c>
      <c r="C160" s="8" t="s">
        <v>0</v>
      </c>
      <c r="D160" s="5" t="n">
        <v>175.1</v>
      </c>
      <c r="E160" s="5" t="n">
        <v>180</v>
      </c>
      <c r="F160" s="5" t="n">
        <v>175.1</v>
      </c>
      <c r="G160" s="5" t="n">
        <v>180</v>
      </c>
      <c r="H160" s="5" t="n">
        <v>175.1</v>
      </c>
      <c r="I160" s="5" t="n">
        <v>180.5</v>
      </c>
      <c r="K160" s="29" t="n">
        <v>13.127</v>
      </c>
      <c r="L160" s="30" t="n">
        <v>74970</v>
      </c>
    </row>
    <row r="161" customFormat="false" ht="15" hidden="false" customHeight="true" outlineLevel="0" collapsed="false">
      <c r="A161" s="8" t="n">
        <v>159</v>
      </c>
      <c r="B161" s="28" t="n">
        <v>45516</v>
      </c>
      <c r="C161" s="8" t="s">
        <v>0</v>
      </c>
      <c r="D161" s="5" t="n">
        <v>180.5</v>
      </c>
      <c r="E161" s="5" t="n">
        <v>188</v>
      </c>
      <c r="F161" s="5" t="n">
        <v>172</v>
      </c>
      <c r="G161" s="5" t="n">
        <v>180</v>
      </c>
      <c r="H161" s="5" t="n">
        <v>180.5</v>
      </c>
      <c r="I161" s="5" t="n">
        <v>176</v>
      </c>
      <c r="K161" s="29" t="n">
        <v>35.519</v>
      </c>
      <c r="L161" s="30" t="n">
        <v>196783</v>
      </c>
    </row>
    <row r="162" customFormat="false" ht="15" hidden="false" customHeight="true" outlineLevel="0" collapsed="false">
      <c r="A162" s="8" t="n">
        <v>160</v>
      </c>
      <c r="B162" s="28" t="n">
        <v>45515</v>
      </c>
      <c r="C162" s="8" t="s">
        <v>0</v>
      </c>
      <c r="D162" s="5" t="n">
        <v>176</v>
      </c>
      <c r="E162" s="5" t="n">
        <v>176</v>
      </c>
      <c r="F162" s="5" t="n">
        <v>165</v>
      </c>
      <c r="G162" s="5" t="n">
        <v>170</v>
      </c>
      <c r="H162" s="5" t="n">
        <v>176</v>
      </c>
      <c r="I162" s="5" t="n">
        <v>160</v>
      </c>
      <c r="K162" s="29" t="n">
        <v>152.419</v>
      </c>
      <c r="L162" s="30" t="n">
        <v>866015</v>
      </c>
    </row>
    <row r="163" customFormat="false" ht="15" hidden="false" customHeight="true" outlineLevel="0" collapsed="false">
      <c r="A163" s="8" t="n">
        <v>161</v>
      </c>
      <c r="B163" s="28" t="n">
        <v>45512</v>
      </c>
      <c r="C163" s="8" t="s">
        <v>0</v>
      </c>
      <c r="D163" s="5" t="n">
        <v>160</v>
      </c>
      <c r="E163" s="5" t="n">
        <v>160</v>
      </c>
      <c r="F163" s="5" t="n">
        <v>152</v>
      </c>
      <c r="G163" s="5" t="n">
        <v>160</v>
      </c>
      <c r="H163" s="5" t="n">
        <v>160</v>
      </c>
      <c r="I163" s="5" t="n">
        <v>145.5</v>
      </c>
      <c r="K163" s="29" t="n">
        <v>29.64</v>
      </c>
      <c r="L163" s="30" t="n">
        <v>185248</v>
      </c>
    </row>
    <row r="164" customFormat="false" ht="15" hidden="false" customHeight="true" outlineLevel="0" collapsed="false">
      <c r="A164" s="8" t="n">
        <v>162</v>
      </c>
      <c r="B164" s="28" t="n">
        <v>45511</v>
      </c>
      <c r="C164" s="8" t="s">
        <v>0</v>
      </c>
      <c r="D164" s="5" t="n">
        <v>145.5</v>
      </c>
      <c r="E164" s="5" t="n">
        <v>145.5</v>
      </c>
      <c r="F164" s="5" t="n">
        <v>135</v>
      </c>
      <c r="G164" s="5" t="n">
        <v>137.6</v>
      </c>
      <c r="H164" s="5" t="n">
        <v>145.5</v>
      </c>
      <c r="I164" s="5" t="n">
        <v>132.3</v>
      </c>
      <c r="K164" s="29" t="n">
        <v>14.893</v>
      </c>
      <c r="L164" s="30" t="n">
        <v>102360</v>
      </c>
    </row>
    <row r="165" customFormat="false" ht="15" hidden="false" customHeight="true" outlineLevel="0" collapsed="false">
      <c r="A165" s="8" t="n">
        <v>163</v>
      </c>
      <c r="B165" s="28" t="n">
        <v>45510</v>
      </c>
      <c r="C165" s="8" t="s">
        <v>0</v>
      </c>
      <c r="D165" s="5" t="n">
        <v>132.3</v>
      </c>
      <c r="E165" s="5" t="n">
        <v>132.3</v>
      </c>
      <c r="F165" s="5" t="n">
        <v>129.9</v>
      </c>
      <c r="G165" s="5" t="n">
        <v>129.9</v>
      </c>
      <c r="H165" s="5" t="n">
        <v>132.3</v>
      </c>
      <c r="I165" s="5" t="n">
        <v>120.3</v>
      </c>
      <c r="K165" s="29" t="n">
        <v>6.659</v>
      </c>
      <c r="L165" s="30" t="n">
        <v>50335</v>
      </c>
    </row>
    <row r="166" customFormat="false" ht="15" hidden="false" customHeight="true" outlineLevel="0" collapsed="false">
      <c r="A166" s="8" t="n">
        <v>164</v>
      </c>
      <c r="B166" s="28" t="n">
        <v>45508</v>
      </c>
      <c r="C166" s="8" t="s">
        <v>0</v>
      </c>
      <c r="D166" s="5" t="n">
        <v>120.3</v>
      </c>
      <c r="E166" s="5" t="n">
        <v>123.5</v>
      </c>
      <c r="F166" s="5" t="n">
        <v>120.3</v>
      </c>
      <c r="G166" s="5" t="n">
        <v>123.5</v>
      </c>
      <c r="H166" s="5" t="n">
        <v>120.3</v>
      </c>
      <c r="I166" s="5" t="n">
        <v>124</v>
      </c>
      <c r="K166" s="29" t="n">
        <v>0.859</v>
      </c>
      <c r="L166" s="30" t="n">
        <v>7139</v>
      </c>
    </row>
    <row r="167" customFormat="false" ht="15" hidden="false" customHeight="true" outlineLevel="0" collapsed="false">
      <c r="A167" s="8" t="n">
        <v>165</v>
      </c>
      <c r="B167" s="28" t="n">
        <v>45505</v>
      </c>
      <c r="C167" s="8" t="s">
        <v>0</v>
      </c>
      <c r="D167" s="5" t="n">
        <v>124</v>
      </c>
      <c r="E167" s="5" t="n">
        <v>124.5</v>
      </c>
      <c r="F167" s="5" t="n">
        <v>123</v>
      </c>
      <c r="G167" s="5" t="n">
        <v>123</v>
      </c>
      <c r="H167" s="5" t="n">
        <v>124</v>
      </c>
      <c r="I167" s="5" t="n">
        <v>123.3</v>
      </c>
      <c r="K167" s="29" t="n">
        <v>3.258</v>
      </c>
      <c r="L167" s="30" t="n">
        <v>26276</v>
      </c>
    </row>
    <row r="168" customFormat="false" ht="15" hidden="false" customHeight="true" outlineLevel="0" collapsed="false">
      <c r="A168" s="8" t="n">
        <v>166</v>
      </c>
      <c r="B168" s="28" t="n">
        <v>45504</v>
      </c>
      <c r="C168" s="8" t="s">
        <v>0</v>
      </c>
      <c r="D168" s="5" t="n">
        <v>123.3</v>
      </c>
      <c r="E168" s="5" t="n">
        <v>130.9</v>
      </c>
      <c r="F168" s="5" t="n">
        <v>121.2</v>
      </c>
      <c r="G168" s="5" t="n">
        <v>124.9</v>
      </c>
      <c r="H168" s="5" t="n">
        <v>123.3</v>
      </c>
      <c r="I168" s="5" t="n">
        <v>124.9</v>
      </c>
      <c r="K168" s="29" t="n">
        <v>3.097</v>
      </c>
      <c r="L168" s="30" t="n">
        <v>25114</v>
      </c>
    </row>
    <row r="169" customFormat="false" ht="15" hidden="false" customHeight="true" outlineLevel="0" collapsed="false">
      <c r="A169" s="8" t="n">
        <v>167</v>
      </c>
      <c r="B169" s="28" t="n">
        <v>45503</v>
      </c>
      <c r="C169" s="8" t="s">
        <v>0</v>
      </c>
      <c r="D169" s="5" t="n">
        <v>124.9</v>
      </c>
      <c r="E169" s="5" t="n">
        <v>139.9</v>
      </c>
      <c r="F169" s="5" t="n">
        <v>124</v>
      </c>
      <c r="G169" s="5" t="n">
        <v>129.9</v>
      </c>
      <c r="H169" s="5" t="n">
        <v>124.9</v>
      </c>
      <c r="I169" s="5" t="n">
        <v>127.5</v>
      </c>
      <c r="K169" s="29" t="n">
        <v>14.493</v>
      </c>
      <c r="L169" s="30" t="n">
        <v>116038</v>
      </c>
    </row>
    <row r="170" customFormat="false" ht="15" hidden="false" customHeight="true" outlineLevel="0" collapsed="false">
      <c r="A170" s="8" t="n">
        <v>168</v>
      </c>
      <c r="B170" s="28" t="n">
        <v>45502</v>
      </c>
      <c r="C170" s="8" t="s">
        <v>0</v>
      </c>
      <c r="D170" s="5" t="n">
        <v>127.5</v>
      </c>
      <c r="E170" s="5" t="n">
        <v>133.4</v>
      </c>
      <c r="F170" s="5" t="n">
        <v>125.5</v>
      </c>
      <c r="G170" s="5" t="n">
        <v>129.3</v>
      </c>
      <c r="H170" s="5" t="n">
        <v>127.5</v>
      </c>
      <c r="I170" s="5" t="n">
        <v>129.3</v>
      </c>
      <c r="K170" s="29" t="n">
        <v>5.295</v>
      </c>
      <c r="L170" s="30" t="n">
        <v>41529</v>
      </c>
    </row>
    <row r="171" customFormat="false" ht="15" hidden="false" customHeight="true" outlineLevel="0" collapsed="false">
      <c r="A171" s="8" t="n">
        <v>169</v>
      </c>
      <c r="B171" s="28" t="n">
        <v>45501</v>
      </c>
      <c r="C171" s="8" t="s">
        <v>0</v>
      </c>
      <c r="D171" s="5" t="n">
        <v>129.3</v>
      </c>
      <c r="E171" s="5" t="n">
        <v>132</v>
      </c>
      <c r="F171" s="5" t="n">
        <v>127.5</v>
      </c>
      <c r="G171" s="5" t="n">
        <v>127.5</v>
      </c>
      <c r="H171" s="5" t="n">
        <v>129.3</v>
      </c>
      <c r="I171" s="5" t="n">
        <v>127.1</v>
      </c>
      <c r="K171" s="29" t="n">
        <v>8.848</v>
      </c>
      <c r="L171" s="30" t="n">
        <v>68429</v>
      </c>
    </row>
    <row r="172" customFormat="false" ht="15" hidden="false" customHeight="true" outlineLevel="0" collapsed="false">
      <c r="A172" s="8" t="n">
        <v>170</v>
      </c>
      <c r="B172" s="28" t="n">
        <v>45498</v>
      </c>
      <c r="C172" s="8" t="s">
        <v>0</v>
      </c>
      <c r="D172" s="5" t="n">
        <v>127.1</v>
      </c>
      <c r="E172" s="5" t="n">
        <v>128.8</v>
      </c>
      <c r="F172" s="5" t="n">
        <v>121.1</v>
      </c>
      <c r="G172" s="5" t="n">
        <v>124.8</v>
      </c>
      <c r="H172" s="5" t="n">
        <v>127.1</v>
      </c>
      <c r="I172" s="5" t="n">
        <v>124.8</v>
      </c>
      <c r="K172" s="29" t="n">
        <v>1.6</v>
      </c>
      <c r="L172" s="30" t="n">
        <v>12589</v>
      </c>
    </row>
    <row r="173" customFormat="false" ht="15" hidden="false" customHeight="true" outlineLevel="0" collapsed="false">
      <c r="A173" s="8" t="n">
        <v>171</v>
      </c>
      <c r="B173" s="28" t="n">
        <v>45497</v>
      </c>
      <c r="C173" s="8" t="s">
        <v>0</v>
      </c>
      <c r="D173" s="5" t="n">
        <v>124.8</v>
      </c>
      <c r="E173" s="5" t="n">
        <v>128.6</v>
      </c>
      <c r="F173" s="5" t="n">
        <v>124.8</v>
      </c>
      <c r="G173" s="5" t="n">
        <v>128.6</v>
      </c>
      <c r="H173" s="5" t="n">
        <v>124.8</v>
      </c>
      <c r="I173" s="5" t="n">
        <v>128.6</v>
      </c>
      <c r="K173" s="29" t="n">
        <v>1.684</v>
      </c>
      <c r="L173" s="30" t="n">
        <v>13493</v>
      </c>
    </row>
    <row r="174" customFormat="false" ht="15" hidden="false" customHeight="true" outlineLevel="0" collapsed="false">
      <c r="A174" s="8" t="n">
        <v>172</v>
      </c>
      <c r="B174" s="28" t="n">
        <v>45491</v>
      </c>
      <c r="C174" s="8" t="s">
        <v>0</v>
      </c>
      <c r="D174" s="5" t="n">
        <v>128.6</v>
      </c>
      <c r="E174" s="5" t="n">
        <v>130</v>
      </c>
      <c r="F174" s="5" t="n">
        <v>127.6</v>
      </c>
      <c r="G174" s="5" t="n">
        <v>127.6</v>
      </c>
      <c r="H174" s="5" t="n">
        <v>128.6</v>
      </c>
      <c r="I174" s="5" t="n">
        <v>131.2</v>
      </c>
      <c r="K174" s="29" t="n">
        <v>1.295</v>
      </c>
      <c r="L174" s="30" t="n">
        <v>10071</v>
      </c>
    </row>
    <row r="175" customFormat="false" ht="15" hidden="false" customHeight="true" outlineLevel="0" collapsed="false">
      <c r="A175" s="8" t="n">
        <v>173</v>
      </c>
      <c r="B175" s="28" t="n">
        <v>45489</v>
      </c>
      <c r="C175" s="8" t="s">
        <v>0</v>
      </c>
      <c r="D175" s="5" t="n">
        <v>131.2</v>
      </c>
      <c r="E175" s="5" t="n">
        <v>134</v>
      </c>
      <c r="F175" s="5" t="n">
        <v>128</v>
      </c>
      <c r="G175" s="5" t="n">
        <v>134</v>
      </c>
      <c r="H175" s="5" t="n">
        <v>131.2</v>
      </c>
      <c r="I175" s="5" t="n">
        <v>128.7</v>
      </c>
      <c r="K175" s="29" t="n">
        <v>2.89</v>
      </c>
      <c r="L175" s="30" t="n">
        <v>22030</v>
      </c>
    </row>
    <row r="176" customFormat="false" ht="15" hidden="false" customHeight="true" outlineLevel="0" collapsed="false">
      <c r="A176" s="8" t="n">
        <v>174</v>
      </c>
      <c r="B176" s="28" t="n">
        <v>45488</v>
      </c>
      <c r="C176" s="8" t="s">
        <v>0</v>
      </c>
      <c r="D176" s="5" t="n">
        <v>128.7</v>
      </c>
      <c r="E176" s="5" t="n">
        <v>135.5</v>
      </c>
      <c r="F176" s="5" t="n">
        <v>126</v>
      </c>
      <c r="G176" s="5" t="n">
        <v>135.5</v>
      </c>
      <c r="H176" s="5" t="n">
        <v>128.7</v>
      </c>
      <c r="I176" s="5" t="n">
        <v>129.8</v>
      </c>
      <c r="K176" s="29" t="n">
        <v>4.103</v>
      </c>
      <c r="L176" s="30" t="n">
        <v>31877</v>
      </c>
    </row>
    <row r="177" customFormat="false" ht="15" hidden="false" customHeight="true" outlineLevel="0" collapsed="false">
      <c r="A177" s="8" t="n">
        <v>175</v>
      </c>
      <c r="B177" s="28" t="n">
        <v>45487</v>
      </c>
      <c r="C177" s="8" t="s">
        <v>0</v>
      </c>
      <c r="D177" s="5" t="n">
        <v>129.8</v>
      </c>
      <c r="E177" s="5" t="n">
        <v>136</v>
      </c>
      <c r="F177" s="5" t="n">
        <v>128.7</v>
      </c>
      <c r="G177" s="5" t="n">
        <v>132.6</v>
      </c>
      <c r="H177" s="5" t="n">
        <v>129.8</v>
      </c>
      <c r="I177" s="5" t="n">
        <v>132.6</v>
      </c>
      <c r="K177" s="29" t="n">
        <v>4.219</v>
      </c>
      <c r="L177" s="30" t="n">
        <v>32506</v>
      </c>
    </row>
    <row r="178" customFormat="false" ht="15" hidden="false" customHeight="true" outlineLevel="0" collapsed="false">
      <c r="A178" s="8" t="n">
        <v>176</v>
      </c>
      <c r="B178" s="28" t="n">
        <v>45484</v>
      </c>
      <c r="C178" s="8" t="s">
        <v>0</v>
      </c>
      <c r="D178" s="5" t="n">
        <v>132.6</v>
      </c>
      <c r="E178" s="5" t="n">
        <v>137.4</v>
      </c>
      <c r="F178" s="5" t="n">
        <v>132.4</v>
      </c>
      <c r="G178" s="5" t="n">
        <v>135</v>
      </c>
      <c r="H178" s="5" t="n">
        <v>132.6</v>
      </c>
      <c r="I178" s="5" t="n">
        <v>136.4</v>
      </c>
      <c r="K178" s="29" t="n">
        <v>5.656</v>
      </c>
      <c r="L178" s="30" t="n">
        <v>42654</v>
      </c>
    </row>
    <row r="179" customFormat="false" ht="15" hidden="false" customHeight="true" outlineLevel="0" collapsed="false">
      <c r="A179" s="8" t="n">
        <v>177</v>
      </c>
      <c r="B179" s="28" t="n">
        <v>45483</v>
      </c>
      <c r="C179" s="8" t="s">
        <v>0</v>
      </c>
      <c r="D179" s="5" t="n">
        <v>136.4</v>
      </c>
      <c r="E179" s="5" t="n">
        <v>139.8</v>
      </c>
      <c r="F179" s="5" t="n">
        <v>135</v>
      </c>
      <c r="G179" s="5" t="n">
        <v>139.8</v>
      </c>
      <c r="H179" s="5" t="n">
        <v>136.4</v>
      </c>
      <c r="I179" s="5" t="n">
        <v>137.1</v>
      </c>
      <c r="K179" s="29" t="n">
        <v>6.437</v>
      </c>
      <c r="L179" s="30" t="n">
        <v>47195</v>
      </c>
    </row>
    <row r="180" customFormat="false" ht="15" hidden="false" customHeight="true" outlineLevel="0" collapsed="false">
      <c r="A180" s="8" t="n">
        <v>178</v>
      </c>
      <c r="B180" s="28" t="n">
        <v>45482</v>
      </c>
      <c r="C180" s="8" t="s">
        <v>0</v>
      </c>
      <c r="D180" s="5" t="n">
        <v>137.1</v>
      </c>
      <c r="E180" s="5" t="n">
        <v>138.5</v>
      </c>
      <c r="F180" s="5" t="n">
        <v>134</v>
      </c>
      <c r="G180" s="5" t="n">
        <v>137</v>
      </c>
      <c r="H180" s="5" t="n">
        <v>137.1</v>
      </c>
      <c r="I180" s="5" t="n">
        <v>137.4</v>
      </c>
      <c r="K180" s="29" t="n">
        <v>4.555</v>
      </c>
      <c r="L180" s="30" t="n">
        <v>33221</v>
      </c>
    </row>
    <row r="181" customFormat="false" ht="15" hidden="false" customHeight="true" outlineLevel="0" collapsed="false">
      <c r="A181" s="8" t="n">
        <v>179</v>
      </c>
      <c r="B181" s="28" t="n">
        <v>45481</v>
      </c>
      <c r="C181" s="8" t="s">
        <v>0</v>
      </c>
      <c r="D181" s="5" t="n">
        <v>137.4</v>
      </c>
      <c r="E181" s="5" t="n">
        <v>139.8</v>
      </c>
      <c r="F181" s="5" t="n">
        <v>134.9</v>
      </c>
      <c r="G181" s="5" t="n">
        <v>139.8</v>
      </c>
      <c r="H181" s="5" t="n">
        <v>137.4</v>
      </c>
      <c r="I181" s="5" t="n">
        <v>138.5</v>
      </c>
      <c r="K181" s="29" t="n">
        <v>9.381</v>
      </c>
      <c r="L181" s="30" t="n">
        <v>68275</v>
      </c>
    </row>
    <row r="182" customFormat="false" ht="15" hidden="false" customHeight="true" outlineLevel="0" collapsed="false">
      <c r="A182" s="8" t="n">
        <v>180</v>
      </c>
      <c r="B182" s="28" t="n">
        <v>45480</v>
      </c>
      <c r="C182" s="8" t="s">
        <v>0</v>
      </c>
      <c r="D182" s="5" t="n">
        <v>138.5</v>
      </c>
      <c r="E182" s="5" t="n">
        <v>139.1</v>
      </c>
      <c r="F182" s="5" t="n">
        <v>131.4</v>
      </c>
      <c r="G182" s="5" t="n">
        <v>134.1</v>
      </c>
      <c r="H182" s="5" t="n">
        <v>138.5</v>
      </c>
      <c r="I182" s="5" t="n">
        <v>131.9</v>
      </c>
      <c r="K182" s="29" t="n">
        <v>12.695</v>
      </c>
      <c r="L182" s="30" t="n">
        <v>91662</v>
      </c>
    </row>
    <row r="183" customFormat="false" ht="15" hidden="false" customHeight="true" outlineLevel="0" collapsed="false">
      <c r="A183" s="8" t="n">
        <v>181</v>
      </c>
      <c r="B183" s="28" t="n">
        <v>45477</v>
      </c>
      <c r="C183" s="8" t="s">
        <v>0</v>
      </c>
      <c r="D183" s="5" t="n">
        <v>131.9</v>
      </c>
      <c r="E183" s="5" t="n">
        <v>132.4</v>
      </c>
      <c r="F183" s="5" t="n">
        <v>130</v>
      </c>
      <c r="G183" s="5" t="n">
        <v>130</v>
      </c>
      <c r="H183" s="5" t="n">
        <v>131.9</v>
      </c>
      <c r="I183" s="5" t="n">
        <v>128</v>
      </c>
      <c r="K183" s="29" t="n">
        <v>6.893</v>
      </c>
      <c r="L183" s="30" t="n">
        <v>52256</v>
      </c>
    </row>
    <row r="184" customFormat="false" ht="15" hidden="false" customHeight="true" outlineLevel="0" collapsed="false">
      <c r="A184" s="8" t="n">
        <v>182</v>
      </c>
      <c r="B184" s="28" t="n">
        <v>45476</v>
      </c>
      <c r="C184" s="8" t="s">
        <v>0</v>
      </c>
      <c r="D184" s="5" t="n">
        <v>128</v>
      </c>
      <c r="E184" s="5" t="n">
        <v>130</v>
      </c>
      <c r="F184" s="5" t="n">
        <v>126</v>
      </c>
      <c r="G184" s="5" t="n">
        <v>129.2</v>
      </c>
      <c r="H184" s="5" t="n">
        <v>128</v>
      </c>
      <c r="I184" s="5" t="n">
        <v>129.4</v>
      </c>
      <c r="K184" s="29" t="n">
        <v>6.239</v>
      </c>
      <c r="L184" s="30" t="n">
        <v>48746</v>
      </c>
    </row>
    <row r="185" customFormat="false" ht="15" hidden="false" customHeight="true" outlineLevel="0" collapsed="false">
      <c r="A185" s="8" t="n">
        <v>183</v>
      </c>
      <c r="B185" s="28" t="n">
        <v>45475</v>
      </c>
      <c r="C185" s="8" t="s">
        <v>0</v>
      </c>
      <c r="D185" s="5" t="n">
        <v>129.4</v>
      </c>
      <c r="E185" s="5" t="n">
        <v>134.9</v>
      </c>
      <c r="F185" s="5" t="n">
        <v>128.5</v>
      </c>
      <c r="G185" s="5" t="n">
        <v>132</v>
      </c>
      <c r="H185" s="5" t="n">
        <v>129.4</v>
      </c>
      <c r="I185" s="5" t="n">
        <v>132.2</v>
      </c>
      <c r="K185" s="29" t="n">
        <v>7.663</v>
      </c>
      <c r="L185" s="30" t="n">
        <v>59223</v>
      </c>
    </row>
    <row r="186" customFormat="false" ht="15" hidden="false" customHeight="true" outlineLevel="0" collapsed="false">
      <c r="A186" s="8" t="n">
        <v>184</v>
      </c>
      <c r="B186" s="28" t="n">
        <v>45473</v>
      </c>
      <c r="C186" s="8" t="s">
        <v>0</v>
      </c>
      <c r="D186" s="5" t="n">
        <v>132.2</v>
      </c>
      <c r="E186" s="5" t="n">
        <v>134.5</v>
      </c>
      <c r="F186" s="5" t="n">
        <v>123.2</v>
      </c>
      <c r="G186" s="5" t="n">
        <v>123.5</v>
      </c>
      <c r="H186" s="5" t="n">
        <v>132.2</v>
      </c>
      <c r="I186" s="5" t="n">
        <v>126.4</v>
      </c>
      <c r="K186" s="29" t="n">
        <v>12.308</v>
      </c>
      <c r="L186" s="30" t="n">
        <v>93100</v>
      </c>
    </row>
    <row r="187" customFormat="false" ht="15" hidden="false" customHeight="true" outlineLevel="0" collapsed="false">
      <c r="A187" s="8" t="n">
        <v>185</v>
      </c>
      <c r="B187" s="28" t="n">
        <v>45470</v>
      </c>
      <c r="C187" s="8" t="s">
        <v>0</v>
      </c>
      <c r="D187" s="5" t="n">
        <v>126.4</v>
      </c>
      <c r="E187" s="5" t="n">
        <v>129.6</v>
      </c>
      <c r="F187" s="5" t="n">
        <v>122.3</v>
      </c>
      <c r="G187" s="5" t="n">
        <v>123.6</v>
      </c>
      <c r="H187" s="5" t="n">
        <v>126.4</v>
      </c>
      <c r="I187" s="5" t="n">
        <v>124.2</v>
      </c>
      <c r="K187" s="29" t="n">
        <v>11.776</v>
      </c>
      <c r="L187" s="30" t="n">
        <v>93161</v>
      </c>
    </row>
    <row r="188" customFormat="false" ht="15" hidden="false" customHeight="true" outlineLevel="0" collapsed="false">
      <c r="A188" s="8" t="n">
        <v>186</v>
      </c>
      <c r="B188" s="28" t="n">
        <v>45469</v>
      </c>
      <c r="C188" s="8" t="s">
        <v>0</v>
      </c>
      <c r="D188" s="5" t="n">
        <v>124.2</v>
      </c>
      <c r="E188" s="5" t="n">
        <v>125.1</v>
      </c>
      <c r="F188" s="5" t="n">
        <v>117</v>
      </c>
      <c r="G188" s="5" t="n">
        <v>118</v>
      </c>
      <c r="H188" s="5" t="n">
        <v>124.2</v>
      </c>
      <c r="I188" s="5" t="n">
        <v>117.8</v>
      </c>
      <c r="K188" s="29" t="n">
        <v>5.999</v>
      </c>
      <c r="L188" s="30" t="n">
        <v>48303</v>
      </c>
    </row>
    <row r="189" customFormat="false" ht="15" hidden="false" customHeight="true" outlineLevel="0" collapsed="false">
      <c r="A189" s="8" t="n">
        <v>187</v>
      </c>
      <c r="B189" s="28" t="n">
        <v>45468</v>
      </c>
      <c r="C189" s="8" t="s">
        <v>0</v>
      </c>
      <c r="D189" s="5" t="n">
        <v>117.8</v>
      </c>
      <c r="E189" s="5" t="n">
        <v>120</v>
      </c>
      <c r="F189" s="5" t="n">
        <v>115</v>
      </c>
      <c r="G189" s="5" t="n">
        <v>115.7</v>
      </c>
      <c r="H189" s="5" t="n">
        <v>117.8</v>
      </c>
      <c r="I189" s="5" t="n">
        <v>117.5</v>
      </c>
      <c r="K189" s="29" t="n">
        <v>3.875</v>
      </c>
      <c r="L189" s="30" t="n">
        <v>32891</v>
      </c>
    </row>
    <row r="190" customFormat="false" ht="15" hidden="false" customHeight="true" outlineLevel="0" collapsed="false">
      <c r="A190" s="8" t="n">
        <v>188</v>
      </c>
      <c r="B190" s="28" t="n">
        <v>45467</v>
      </c>
      <c r="C190" s="8" t="s">
        <v>0</v>
      </c>
      <c r="D190" s="5" t="n">
        <v>117.5</v>
      </c>
      <c r="E190" s="5" t="n">
        <v>120.9</v>
      </c>
      <c r="F190" s="5" t="n">
        <v>114.6</v>
      </c>
      <c r="G190" s="5" t="n">
        <v>120.9</v>
      </c>
      <c r="H190" s="5" t="n">
        <v>117.5</v>
      </c>
      <c r="I190" s="5" t="n">
        <v>118.1</v>
      </c>
      <c r="K190" s="29" t="n">
        <v>3.765</v>
      </c>
      <c r="L190" s="30" t="n">
        <v>32043</v>
      </c>
    </row>
    <row r="191" customFormat="false" ht="15" hidden="false" customHeight="true" outlineLevel="0" collapsed="false">
      <c r="A191" s="8" t="n">
        <v>189</v>
      </c>
      <c r="B191" s="28" t="n">
        <v>45466</v>
      </c>
      <c r="C191" s="8" t="s">
        <v>0</v>
      </c>
      <c r="D191" s="5" t="n">
        <v>118.1</v>
      </c>
      <c r="E191" s="5" t="n">
        <v>123.6</v>
      </c>
      <c r="F191" s="5" t="n">
        <v>117</v>
      </c>
      <c r="G191" s="5" t="n">
        <v>120.5</v>
      </c>
      <c r="H191" s="5" t="n">
        <v>118.1</v>
      </c>
      <c r="I191" s="5" t="n">
        <v>118.6</v>
      </c>
      <c r="K191" s="29" t="n">
        <v>7.404</v>
      </c>
      <c r="L191" s="30" t="n">
        <v>62694</v>
      </c>
    </row>
    <row r="192" customFormat="false" ht="15" hidden="false" customHeight="true" outlineLevel="0" collapsed="false">
      <c r="A192" s="8" t="n">
        <v>190</v>
      </c>
      <c r="B192" s="28" t="n">
        <v>45463</v>
      </c>
      <c r="C192" s="8" t="s">
        <v>0</v>
      </c>
      <c r="D192" s="5" t="n">
        <v>118.6</v>
      </c>
      <c r="E192" s="5" t="n">
        <v>119.1</v>
      </c>
      <c r="F192" s="5" t="n">
        <v>114</v>
      </c>
      <c r="G192" s="5" t="n">
        <v>115</v>
      </c>
      <c r="H192" s="5" t="n">
        <v>118.6</v>
      </c>
      <c r="I192" s="5" t="n">
        <v>113.9</v>
      </c>
      <c r="K192" s="29" t="n">
        <v>4.515</v>
      </c>
      <c r="L192" s="30" t="n">
        <v>38069</v>
      </c>
    </row>
    <row r="193" customFormat="false" ht="15" hidden="false" customHeight="true" outlineLevel="0" collapsed="false">
      <c r="A193" s="8" t="n">
        <v>191</v>
      </c>
      <c r="B193" s="28" t="n">
        <v>45462</v>
      </c>
      <c r="C193" s="8" t="s">
        <v>0</v>
      </c>
      <c r="D193" s="5" t="n">
        <v>113.9</v>
      </c>
      <c r="E193" s="5" t="n">
        <v>119.9</v>
      </c>
      <c r="F193" s="5" t="n">
        <v>112.6</v>
      </c>
      <c r="G193" s="5" t="n">
        <v>119.9</v>
      </c>
      <c r="H193" s="5" t="n">
        <v>113.9</v>
      </c>
      <c r="I193" s="5" t="n">
        <v>112.1</v>
      </c>
      <c r="K193" s="29" t="n">
        <v>3.377</v>
      </c>
      <c r="L193" s="30" t="n">
        <v>29650</v>
      </c>
    </row>
    <row r="194" customFormat="false" ht="15" hidden="false" customHeight="true" outlineLevel="0" collapsed="false">
      <c r="A194" s="8" t="n">
        <v>192</v>
      </c>
      <c r="B194" s="28" t="n">
        <v>45456</v>
      </c>
      <c r="C194" s="8" t="s">
        <v>0</v>
      </c>
      <c r="D194" s="5" t="n">
        <v>112.1</v>
      </c>
      <c r="E194" s="5" t="n">
        <v>114.4</v>
      </c>
      <c r="F194" s="5" t="n">
        <v>111.5</v>
      </c>
      <c r="G194" s="5" t="n">
        <v>114</v>
      </c>
      <c r="H194" s="5" t="n">
        <v>112.1</v>
      </c>
      <c r="I194" s="5" t="n">
        <v>114</v>
      </c>
      <c r="K194" s="29" t="n">
        <v>8.474</v>
      </c>
      <c r="L194" s="30" t="n">
        <v>75597</v>
      </c>
    </row>
    <row r="195" customFormat="false" ht="15" hidden="false" customHeight="true" outlineLevel="0" collapsed="false">
      <c r="A195" s="8" t="n">
        <v>193</v>
      </c>
      <c r="B195" s="28" t="n">
        <v>45455</v>
      </c>
      <c r="C195" s="8" t="s">
        <v>0</v>
      </c>
      <c r="D195" s="5" t="n">
        <v>114</v>
      </c>
      <c r="E195" s="5" t="n">
        <v>117.7</v>
      </c>
      <c r="F195" s="5" t="n">
        <v>112</v>
      </c>
      <c r="G195" s="5" t="n">
        <v>117.7</v>
      </c>
      <c r="H195" s="5" t="n">
        <v>114</v>
      </c>
      <c r="I195" s="5" t="n">
        <v>115.1</v>
      </c>
      <c r="K195" s="29" t="n">
        <v>4.074</v>
      </c>
      <c r="L195" s="30" t="n">
        <v>35741</v>
      </c>
    </row>
    <row r="196" customFormat="false" ht="15" hidden="false" customHeight="true" outlineLevel="0" collapsed="false">
      <c r="A196" s="8" t="n">
        <v>194</v>
      </c>
      <c r="B196" s="28" t="n">
        <v>45454</v>
      </c>
      <c r="C196" s="8" t="s">
        <v>0</v>
      </c>
      <c r="D196" s="5" t="n">
        <v>115.1</v>
      </c>
      <c r="E196" s="5" t="n">
        <v>118.1</v>
      </c>
      <c r="F196" s="5" t="n">
        <v>115.1</v>
      </c>
      <c r="G196" s="5" t="n">
        <v>115.5</v>
      </c>
      <c r="H196" s="5" t="n">
        <v>115.1</v>
      </c>
      <c r="I196" s="5" t="n">
        <v>118.6</v>
      </c>
      <c r="K196" s="29" t="n">
        <v>1.666</v>
      </c>
      <c r="L196" s="30" t="n">
        <v>14477</v>
      </c>
    </row>
    <row r="197" customFormat="false" ht="15" hidden="false" customHeight="true" outlineLevel="0" collapsed="false">
      <c r="A197" s="8" t="n">
        <v>195</v>
      </c>
      <c r="B197" s="28" t="n">
        <v>45453</v>
      </c>
      <c r="C197" s="8" t="s">
        <v>0</v>
      </c>
      <c r="D197" s="5" t="n">
        <v>118.6</v>
      </c>
      <c r="E197" s="5" t="n">
        <v>121.5</v>
      </c>
      <c r="F197" s="5" t="n">
        <v>116.6</v>
      </c>
      <c r="G197" s="5" t="n">
        <v>117.2</v>
      </c>
      <c r="H197" s="5" t="n">
        <v>118.6</v>
      </c>
      <c r="I197" s="5" t="n">
        <v>120.2</v>
      </c>
      <c r="K197" s="29" t="n">
        <v>3.342</v>
      </c>
      <c r="L197" s="30" t="n">
        <v>28178</v>
      </c>
    </row>
    <row r="198" customFormat="false" ht="15" hidden="false" customHeight="true" outlineLevel="0" collapsed="false">
      <c r="A198" s="8" t="n">
        <v>196</v>
      </c>
      <c r="B198" s="28" t="n">
        <v>45452</v>
      </c>
      <c r="C198" s="8" t="s">
        <v>0</v>
      </c>
      <c r="D198" s="5" t="n">
        <v>120.2</v>
      </c>
      <c r="E198" s="5" t="n">
        <v>122.5</v>
      </c>
      <c r="F198" s="5" t="n">
        <v>119.9</v>
      </c>
      <c r="G198" s="5" t="n">
        <v>122.5</v>
      </c>
      <c r="H198" s="5" t="n">
        <v>120.2</v>
      </c>
      <c r="I198" s="5" t="n">
        <v>123.6</v>
      </c>
      <c r="K198" s="29" t="n">
        <v>4.004</v>
      </c>
      <c r="L198" s="30" t="n">
        <v>33308</v>
      </c>
    </row>
    <row r="199" customFormat="false" ht="15" hidden="false" customHeight="true" outlineLevel="0" collapsed="false">
      <c r="A199" s="8" t="n">
        <v>197</v>
      </c>
      <c r="B199" s="28" t="n">
        <v>45449</v>
      </c>
      <c r="C199" s="8" t="s">
        <v>0</v>
      </c>
      <c r="D199" s="5" t="n">
        <v>123.6</v>
      </c>
      <c r="E199" s="5" t="n">
        <v>126</v>
      </c>
      <c r="F199" s="5" t="n">
        <v>121.5</v>
      </c>
      <c r="G199" s="5" t="n">
        <v>121.6</v>
      </c>
      <c r="H199" s="5" t="n">
        <v>123.6</v>
      </c>
      <c r="I199" s="5" t="n">
        <v>125.2</v>
      </c>
      <c r="K199" s="29" t="n">
        <v>4.15</v>
      </c>
      <c r="L199" s="30" t="n">
        <v>33573</v>
      </c>
    </row>
    <row r="200" customFormat="false" ht="15" hidden="false" customHeight="true" outlineLevel="0" collapsed="false">
      <c r="A200" s="8" t="n">
        <v>198</v>
      </c>
      <c r="B200" s="28" t="n">
        <v>45448</v>
      </c>
      <c r="C200" s="8" t="s">
        <v>0</v>
      </c>
      <c r="D200" s="5" t="n">
        <v>125.2</v>
      </c>
      <c r="E200" s="5" t="n">
        <v>128.8</v>
      </c>
      <c r="F200" s="5" t="n">
        <v>125</v>
      </c>
      <c r="G200" s="5" t="n">
        <v>128.8</v>
      </c>
      <c r="H200" s="5" t="n">
        <v>125.2</v>
      </c>
      <c r="I200" s="5" t="n">
        <v>127.1</v>
      </c>
      <c r="K200" s="29" t="n">
        <v>1.486</v>
      </c>
      <c r="L200" s="30" t="n">
        <v>11873</v>
      </c>
    </row>
    <row r="201" customFormat="false" ht="15" hidden="false" customHeight="true" outlineLevel="0" collapsed="false">
      <c r="A201" s="8" t="n">
        <v>199</v>
      </c>
      <c r="B201" s="28" t="n">
        <v>45447</v>
      </c>
      <c r="C201" s="8" t="s">
        <v>0</v>
      </c>
      <c r="D201" s="5" t="n">
        <v>127.1</v>
      </c>
      <c r="E201" s="5" t="n">
        <v>128.7</v>
      </c>
      <c r="F201" s="5" t="n">
        <v>126</v>
      </c>
      <c r="G201" s="5" t="n">
        <v>128.7</v>
      </c>
      <c r="H201" s="5" t="n">
        <v>127.1</v>
      </c>
      <c r="I201" s="5" t="n">
        <v>126.6</v>
      </c>
      <c r="K201" s="29" t="n">
        <v>0.839</v>
      </c>
      <c r="L201" s="30" t="n">
        <v>6605</v>
      </c>
    </row>
    <row r="202" customFormat="false" ht="15" hidden="false" customHeight="true" outlineLevel="0" collapsed="false">
      <c r="A202" s="8" t="n">
        <v>200</v>
      </c>
      <c r="B202" s="28" t="n">
        <v>45446</v>
      </c>
      <c r="C202" s="8" t="s">
        <v>0</v>
      </c>
      <c r="D202" s="5" t="n">
        <v>126.6</v>
      </c>
      <c r="E202" s="5" t="n">
        <v>129.9</v>
      </c>
      <c r="F202" s="5" t="n">
        <v>125.8</v>
      </c>
      <c r="G202" s="5" t="n">
        <v>129.9</v>
      </c>
      <c r="H202" s="5" t="n">
        <v>126.6</v>
      </c>
      <c r="I202" s="5" t="n">
        <v>126.9</v>
      </c>
      <c r="K202" s="29" t="n">
        <v>1.372</v>
      </c>
      <c r="L202" s="30" t="n">
        <v>10837</v>
      </c>
    </row>
    <row r="203" customFormat="false" ht="15" hidden="false" customHeight="true" outlineLevel="0" collapsed="false">
      <c r="A203" s="8" t="n">
        <v>201</v>
      </c>
      <c r="B203" s="28" t="n">
        <v>45445</v>
      </c>
      <c r="C203" s="8" t="s">
        <v>0</v>
      </c>
      <c r="D203" s="5" t="n">
        <v>126.9</v>
      </c>
      <c r="E203" s="5" t="n">
        <v>130.5</v>
      </c>
      <c r="F203" s="5" t="n">
        <v>126.3</v>
      </c>
      <c r="G203" s="5" t="n">
        <v>127.1</v>
      </c>
      <c r="H203" s="5" t="n">
        <v>126.9</v>
      </c>
      <c r="I203" s="5" t="n">
        <v>128.2</v>
      </c>
      <c r="K203" s="29" t="n">
        <v>1.547</v>
      </c>
      <c r="L203" s="30" t="n">
        <v>12189</v>
      </c>
    </row>
    <row r="204" customFormat="false" ht="15" hidden="false" customHeight="true" outlineLevel="0" collapsed="false">
      <c r="A204" s="8" t="n">
        <v>202</v>
      </c>
      <c r="B204" s="28" t="n">
        <v>45442</v>
      </c>
      <c r="C204" s="8" t="s">
        <v>0</v>
      </c>
      <c r="D204" s="5" t="n">
        <v>128.2</v>
      </c>
      <c r="E204" s="5" t="n">
        <v>130</v>
      </c>
      <c r="F204" s="5" t="n">
        <v>125.3</v>
      </c>
      <c r="G204" s="5" t="n">
        <v>126</v>
      </c>
      <c r="H204" s="5" t="n">
        <v>128.2</v>
      </c>
      <c r="I204" s="5" t="n">
        <v>128.1</v>
      </c>
      <c r="K204" s="29" t="n">
        <v>1.388</v>
      </c>
      <c r="L204" s="30" t="n">
        <v>10825</v>
      </c>
    </row>
    <row r="205" customFormat="false" ht="15" hidden="false" customHeight="true" outlineLevel="0" collapsed="false">
      <c r="A205" s="8" t="n">
        <v>203</v>
      </c>
      <c r="B205" s="28" t="n">
        <v>45441</v>
      </c>
      <c r="C205" s="8" t="s">
        <v>0</v>
      </c>
      <c r="D205" s="5" t="n">
        <v>128.1</v>
      </c>
      <c r="E205" s="5" t="n">
        <v>133.3</v>
      </c>
      <c r="F205" s="5" t="n">
        <v>128.1</v>
      </c>
      <c r="G205" s="5" t="n">
        <v>133.3</v>
      </c>
      <c r="H205" s="5" t="n">
        <v>128.1</v>
      </c>
      <c r="I205" s="5" t="n">
        <v>132</v>
      </c>
      <c r="K205" s="29" t="n">
        <v>2.412</v>
      </c>
      <c r="L205" s="30" t="n">
        <v>18829</v>
      </c>
    </row>
    <row r="206" customFormat="false" ht="15" hidden="false" customHeight="true" outlineLevel="0" collapsed="false">
      <c r="A206" s="8" t="n">
        <v>204</v>
      </c>
      <c r="B206" s="28" t="n">
        <v>45440</v>
      </c>
      <c r="C206" s="8" t="s">
        <v>0</v>
      </c>
      <c r="D206" s="5" t="n">
        <v>132</v>
      </c>
      <c r="E206" s="5" t="n">
        <v>135</v>
      </c>
      <c r="F206" s="5" t="n">
        <v>131</v>
      </c>
      <c r="G206" s="5" t="n">
        <v>132.2</v>
      </c>
      <c r="H206" s="5" t="n">
        <v>132</v>
      </c>
      <c r="I206" s="5" t="n">
        <v>131.9</v>
      </c>
      <c r="K206" s="29" t="n">
        <v>2.563</v>
      </c>
      <c r="L206" s="30" t="n">
        <v>19418</v>
      </c>
    </row>
    <row r="207" customFormat="false" ht="15" hidden="false" customHeight="true" outlineLevel="0" collapsed="false">
      <c r="A207" s="8" t="n">
        <v>205</v>
      </c>
      <c r="B207" s="28" t="n">
        <v>45439</v>
      </c>
      <c r="C207" s="8" t="s">
        <v>0</v>
      </c>
      <c r="D207" s="5" t="n">
        <v>131.9</v>
      </c>
      <c r="E207" s="5" t="n">
        <v>133.9</v>
      </c>
      <c r="F207" s="5" t="n">
        <v>128</v>
      </c>
      <c r="G207" s="5" t="n">
        <v>133.9</v>
      </c>
      <c r="H207" s="5" t="n">
        <v>131.9</v>
      </c>
      <c r="I207" s="5" t="n">
        <v>131.6</v>
      </c>
      <c r="K207" s="29" t="n">
        <v>1.931</v>
      </c>
      <c r="L207" s="30" t="n">
        <v>14641</v>
      </c>
    </row>
    <row r="208" customFormat="false" ht="15" hidden="false" customHeight="true" outlineLevel="0" collapsed="false">
      <c r="A208" s="8" t="n">
        <v>206</v>
      </c>
      <c r="B208" s="28" t="n">
        <v>45438</v>
      </c>
      <c r="C208" s="8" t="s">
        <v>0</v>
      </c>
      <c r="D208" s="5" t="n">
        <v>131.6</v>
      </c>
      <c r="E208" s="5" t="n">
        <v>140.7</v>
      </c>
      <c r="F208" s="5" t="n">
        <v>131.6</v>
      </c>
      <c r="G208" s="5" t="n">
        <v>140.7</v>
      </c>
      <c r="H208" s="5" t="n">
        <v>131.6</v>
      </c>
      <c r="I208" s="5" t="n">
        <v>135.6</v>
      </c>
      <c r="K208" s="29" t="n">
        <v>2.48</v>
      </c>
      <c r="L208" s="30" t="n">
        <v>18844</v>
      </c>
    </row>
    <row r="209" customFormat="false" ht="15" hidden="false" customHeight="true" outlineLevel="0" collapsed="false">
      <c r="A209" s="8" t="n">
        <v>207</v>
      </c>
      <c r="B209" s="28" t="n">
        <v>45435</v>
      </c>
      <c r="C209" s="8" t="s">
        <v>0</v>
      </c>
      <c r="D209" s="5" t="n">
        <v>135.6</v>
      </c>
      <c r="E209" s="5" t="n">
        <v>140</v>
      </c>
      <c r="F209" s="5" t="n">
        <v>134</v>
      </c>
      <c r="G209" s="5" t="n">
        <v>136</v>
      </c>
      <c r="H209" s="5" t="n">
        <v>135.6</v>
      </c>
      <c r="I209" s="5" t="n">
        <v>138.1</v>
      </c>
      <c r="K209" s="29" t="n">
        <v>2.864</v>
      </c>
      <c r="L209" s="30" t="n">
        <v>21118</v>
      </c>
    </row>
    <row r="210" customFormat="false" ht="15" hidden="false" customHeight="true" outlineLevel="0" collapsed="false">
      <c r="A210" s="8" t="n">
        <v>208</v>
      </c>
      <c r="B210" s="28" t="n">
        <v>45433</v>
      </c>
      <c r="C210" s="8" t="s">
        <v>0</v>
      </c>
      <c r="D210" s="5" t="n">
        <v>138.1</v>
      </c>
      <c r="E210" s="5" t="n">
        <v>141</v>
      </c>
      <c r="F210" s="5" t="n">
        <v>137.7</v>
      </c>
      <c r="G210" s="5" t="n">
        <v>140</v>
      </c>
      <c r="H210" s="5" t="n">
        <v>138.1</v>
      </c>
      <c r="I210" s="5" t="n">
        <v>138.7</v>
      </c>
      <c r="K210" s="29" t="n">
        <v>2.067</v>
      </c>
      <c r="L210" s="30" t="n">
        <v>14967</v>
      </c>
    </row>
    <row r="211" customFormat="false" ht="15" hidden="false" customHeight="true" outlineLevel="0" collapsed="false">
      <c r="A211" s="8" t="n">
        <v>209</v>
      </c>
      <c r="B211" s="28" t="n">
        <v>45432</v>
      </c>
      <c r="C211" s="8" t="s">
        <v>0</v>
      </c>
      <c r="D211" s="5" t="n">
        <v>138.7</v>
      </c>
      <c r="E211" s="5" t="n">
        <v>144.5</v>
      </c>
      <c r="F211" s="5" t="n">
        <v>136</v>
      </c>
      <c r="G211" s="5" t="n">
        <v>138.5</v>
      </c>
      <c r="H211" s="5" t="n">
        <v>138.7</v>
      </c>
      <c r="I211" s="5" t="n">
        <v>138.5</v>
      </c>
      <c r="K211" s="29" t="n">
        <v>87.274</v>
      </c>
      <c r="L211" s="30" t="n">
        <v>629230</v>
      </c>
    </row>
    <row r="212" customFormat="false" ht="15" hidden="false" customHeight="true" outlineLevel="0" collapsed="false">
      <c r="A212" s="8" t="n">
        <v>210</v>
      </c>
      <c r="B212" s="28" t="n">
        <v>45431</v>
      </c>
      <c r="C212" s="8" t="s">
        <v>0</v>
      </c>
      <c r="D212" s="5" t="n">
        <v>138.5</v>
      </c>
      <c r="E212" s="5" t="n">
        <v>143.9</v>
      </c>
      <c r="F212" s="5" t="n">
        <v>138</v>
      </c>
      <c r="G212" s="5" t="n">
        <v>142</v>
      </c>
      <c r="H212" s="5" t="n">
        <v>138.5</v>
      </c>
      <c r="I212" s="5" t="n">
        <v>142</v>
      </c>
      <c r="K212" s="29" t="n">
        <v>37.24</v>
      </c>
      <c r="L212" s="30" t="n">
        <v>268880</v>
      </c>
    </row>
    <row r="213" customFormat="false" ht="15" hidden="false" customHeight="true" outlineLevel="0" collapsed="false">
      <c r="A213" s="8" t="n">
        <v>211</v>
      </c>
      <c r="B213" s="28" t="n">
        <v>45428</v>
      </c>
      <c r="C213" s="8" t="s">
        <v>0</v>
      </c>
      <c r="D213" s="5" t="n">
        <v>142</v>
      </c>
      <c r="E213" s="5" t="n">
        <v>144</v>
      </c>
      <c r="F213" s="5" t="n">
        <v>139</v>
      </c>
      <c r="G213" s="5" t="n">
        <v>144</v>
      </c>
      <c r="H213" s="5" t="n">
        <v>142</v>
      </c>
      <c r="I213" s="5" t="n">
        <v>139.8</v>
      </c>
      <c r="K213" s="29" t="n">
        <v>21.557</v>
      </c>
      <c r="L213" s="30" t="n">
        <v>151810</v>
      </c>
    </row>
    <row r="214" customFormat="false" ht="15" hidden="false" customHeight="true" outlineLevel="0" collapsed="false">
      <c r="A214" s="8" t="n">
        <v>212</v>
      </c>
      <c r="B214" s="28" t="n">
        <v>45427</v>
      </c>
      <c r="C214" s="8" t="s">
        <v>0</v>
      </c>
      <c r="D214" s="5" t="n">
        <v>139.8</v>
      </c>
      <c r="E214" s="5" t="n">
        <v>144.9</v>
      </c>
      <c r="F214" s="5" t="n">
        <v>139</v>
      </c>
      <c r="G214" s="5" t="n">
        <v>144.9</v>
      </c>
      <c r="H214" s="5" t="n">
        <v>139.8</v>
      </c>
      <c r="I214" s="5" t="n">
        <v>141.8</v>
      </c>
      <c r="K214" s="29" t="n">
        <v>1.515</v>
      </c>
      <c r="L214" s="30" t="n">
        <v>10840</v>
      </c>
    </row>
    <row r="215" customFormat="false" ht="15" hidden="false" customHeight="true" outlineLevel="0" collapsed="false">
      <c r="A215" s="8" t="n">
        <v>213</v>
      </c>
      <c r="B215" s="28" t="n">
        <v>45426</v>
      </c>
      <c r="C215" s="8" t="s">
        <v>0</v>
      </c>
      <c r="D215" s="5" t="n">
        <v>141.8</v>
      </c>
      <c r="E215" s="5" t="n">
        <v>145.2</v>
      </c>
      <c r="F215" s="5" t="n">
        <v>141.4</v>
      </c>
      <c r="G215" s="5" t="n">
        <v>145.1</v>
      </c>
      <c r="H215" s="5" t="n">
        <v>141.8</v>
      </c>
      <c r="I215" s="5" t="n">
        <v>145.7</v>
      </c>
      <c r="K215" s="29" t="n">
        <v>2.59</v>
      </c>
      <c r="L215" s="30" t="n">
        <v>18263</v>
      </c>
    </row>
    <row r="216" customFormat="false" ht="15" hidden="false" customHeight="true" outlineLevel="0" collapsed="false">
      <c r="A216" s="8" t="n">
        <v>214</v>
      </c>
      <c r="B216" s="28" t="n">
        <v>45425</v>
      </c>
      <c r="C216" s="8" t="s">
        <v>0</v>
      </c>
      <c r="D216" s="5" t="n">
        <v>145.7</v>
      </c>
      <c r="E216" s="5" t="n">
        <v>149.8</v>
      </c>
      <c r="F216" s="5" t="n">
        <v>145.1</v>
      </c>
      <c r="G216" s="5" t="n">
        <v>149.8</v>
      </c>
      <c r="H216" s="5" t="n">
        <v>145.7</v>
      </c>
      <c r="I216" s="5" t="n">
        <v>148.1</v>
      </c>
      <c r="K216" s="29" t="n">
        <v>1.768</v>
      </c>
      <c r="L216" s="30" t="n">
        <v>12137</v>
      </c>
    </row>
    <row r="217" customFormat="false" ht="15" hidden="false" customHeight="true" outlineLevel="0" collapsed="false">
      <c r="A217" s="8" t="n">
        <v>215</v>
      </c>
      <c r="B217" s="28" t="n">
        <v>45424</v>
      </c>
      <c r="C217" s="8" t="s">
        <v>0</v>
      </c>
      <c r="D217" s="5" t="n">
        <v>148.1</v>
      </c>
      <c r="E217" s="5" t="n">
        <v>150</v>
      </c>
      <c r="F217" s="5" t="n">
        <v>143.8</v>
      </c>
      <c r="G217" s="5" t="n">
        <v>149</v>
      </c>
      <c r="H217" s="5" t="n">
        <v>148.1</v>
      </c>
      <c r="I217" s="5" t="n">
        <v>144.7</v>
      </c>
      <c r="K217" s="29" t="n">
        <v>1.552</v>
      </c>
      <c r="L217" s="30" t="n">
        <v>10480</v>
      </c>
    </row>
    <row r="218" customFormat="false" ht="15" hidden="false" customHeight="true" outlineLevel="0" collapsed="false">
      <c r="A218" s="8" t="n">
        <v>216</v>
      </c>
      <c r="B218" s="28" t="n">
        <v>45421</v>
      </c>
      <c r="C218" s="8" t="s">
        <v>0</v>
      </c>
      <c r="D218" s="5" t="n">
        <v>144.7</v>
      </c>
      <c r="E218" s="5" t="n">
        <v>149.8</v>
      </c>
      <c r="F218" s="5" t="n">
        <v>144</v>
      </c>
      <c r="G218" s="5" t="n">
        <v>149.8</v>
      </c>
      <c r="H218" s="5" t="n">
        <v>144.7</v>
      </c>
      <c r="I218" s="5" t="n">
        <v>146.3</v>
      </c>
      <c r="K218" s="29" t="n">
        <v>1.702</v>
      </c>
      <c r="L218" s="30" t="n">
        <v>11763</v>
      </c>
    </row>
    <row r="219" customFormat="false" ht="15" hidden="false" customHeight="true" outlineLevel="0" collapsed="false">
      <c r="A219" s="8" t="n">
        <v>217</v>
      </c>
      <c r="B219" s="28" t="n">
        <v>45420</v>
      </c>
      <c r="C219" s="8" t="s">
        <v>0</v>
      </c>
      <c r="D219" s="5" t="n">
        <v>146.3</v>
      </c>
      <c r="E219" s="5" t="n">
        <v>149.7</v>
      </c>
      <c r="F219" s="5" t="n">
        <v>142.6</v>
      </c>
      <c r="G219" s="5" t="n">
        <v>142.6</v>
      </c>
      <c r="H219" s="5" t="n">
        <v>146.3</v>
      </c>
      <c r="I219" s="5" t="n">
        <v>145.5</v>
      </c>
      <c r="K219" s="29" t="n">
        <v>1.368</v>
      </c>
      <c r="L219" s="30" t="n">
        <v>9350</v>
      </c>
    </row>
    <row r="220" customFormat="false" ht="15" hidden="false" customHeight="true" outlineLevel="0" collapsed="false">
      <c r="A220" s="8" t="n">
        <v>218</v>
      </c>
      <c r="B220" s="28" t="n">
        <v>45419</v>
      </c>
      <c r="C220" s="8" t="s">
        <v>0</v>
      </c>
      <c r="D220" s="5" t="n">
        <v>145.5</v>
      </c>
      <c r="E220" s="5" t="n">
        <v>154.8</v>
      </c>
      <c r="F220" s="5" t="n">
        <v>143</v>
      </c>
      <c r="G220" s="5" t="n">
        <v>144.8</v>
      </c>
      <c r="H220" s="5" t="n">
        <v>145.5</v>
      </c>
      <c r="I220" s="5" t="n">
        <v>142</v>
      </c>
      <c r="K220" s="29" t="n">
        <v>7.151</v>
      </c>
      <c r="L220" s="30" t="n">
        <v>49147</v>
      </c>
    </row>
    <row r="221" customFormat="false" ht="15" hidden="false" customHeight="true" outlineLevel="0" collapsed="false">
      <c r="A221" s="8" t="n">
        <v>219</v>
      </c>
      <c r="B221" s="28" t="n">
        <v>45418</v>
      </c>
      <c r="C221" s="8" t="s">
        <v>0</v>
      </c>
      <c r="D221" s="5" t="n">
        <v>142</v>
      </c>
      <c r="E221" s="5" t="n">
        <v>143.7</v>
      </c>
      <c r="F221" s="5" t="n">
        <v>138.5</v>
      </c>
      <c r="G221" s="5" t="n">
        <v>142</v>
      </c>
      <c r="H221" s="5" t="n">
        <v>142</v>
      </c>
      <c r="I221" s="5" t="n">
        <v>139</v>
      </c>
      <c r="K221" s="29" t="n">
        <v>3.983</v>
      </c>
      <c r="L221" s="30" t="n">
        <v>28046</v>
      </c>
    </row>
    <row r="222" customFormat="false" ht="15" hidden="false" customHeight="true" outlineLevel="0" collapsed="false">
      <c r="A222" s="8" t="n">
        <v>220</v>
      </c>
      <c r="B222" s="28" t="n">
        <v>45417</v>
      </c>
      <c r="C222" s="8" t="s">
        <v>0</v>
      </c>
      <c r="D222" s="5" t="n">
        <v>139</v>
      </c>
      <c r="E222" s="5" t="n">
        <v>143.8</v>
      </c>
      <c r="F222" s="5" t="n">
        <v>136.1</v>
      </c>
      <c r="G222" s="5" t="n">
        <v>137.3</v>
      </c>
      <c r="H222" s="5" t="n">
        <v>139</v>
      </c>
      <c r="I222" s="5" t="n">
        <v>137.7</v>
      </c>
      <c r="K222" s="29" t="n">
        <v>3.698</v>
      </c>
      <c r="L222" s="30" t="n">
        <v>26606</v>
      </c>
    </row>
    <row r="223" customFormat="false" ht="15" hidden="false" customHeight="true" outlineLevel="0" collapsed="false">
      <c r="A223" s="8" t="n">
        <v>221</v>
      </c>
      <c r="B223" s="28" t="n">
        <v>45414</v>
      </c>
      <c r="C223" s="8" t="s">
        <v>0</v>
      </c>
      <c r="D223" s="5" t="n">
        <v>137.7</v>
      </c>
      <c r="E223" s="5" t="n">
        <v>145</v>
      </c>
      <c r="F223" s="5" t="n">
        <v>136.1</v>
      </c>
      <c r="G223" s="5" t="n">
        <v>145</v>
      </c>
      <c r="H223" s="5" t="n">
        <v>137.7</v>
      </c>
      <c r="I223" s="5" t="n">
        <v>139.4</v>
      </c>
      <c r="K223" s="29" t="n">
        <v>4.582</v>
      </c>
      <c r="L223" s="30" t="n">
        <v>33274</v>
      </c>
    </row>
    <row r="224" customFormat="false" ht="15" hidden="false" customHeight="true" outlineLevel="0" collapsed="false">
      <c r="A224" s="8" t="n">
        <v>222</v>
      </c>
      <c r="B224" s="28" t="n">
        <v>45412</v>
      </c>
      <c r="C224" s="8" t="s">
        <v>0</v>
      </c>
      <c r="D224" s="5" t="n">
        <v>139.4</v>
      </c>
      <c r="E224" s="5" t="n">
        <v>144</v>
      </c>
      <c r="F224" s="5" t="n">
        <v>136.8</v>
      </c>
      <c r="G224" s="5" t="n">
        <v>144</v>
      </c>
      <c r="H224" s="5" t="n">
        <v>139.4</v>
      </c>
      <c r="I224" s="5" t="n">
        <v>140.7</v>
      </c>
      <c r="K224" s="29" t="n">
        <v>3.198</v>
      </c>
      <c r="L224" s="30" t="n">
        <v>22943</v>
      </c>
    </row>
    <row r="225" customFormat="false" ht="15" hidden="false" customHeight="true" outlineLevel="0" collapsed="false">
      <c r="A225" s="8" t="n">
        <v>223</v>
      </c>
      <c r="B225" s="28" t="n">
        <v>45411</v>
      </c>
      <c r="C225" s="8" t="s">
        <v>0</v>
      </c>
      <c r="D225" s="5" t="n">
        <v>140.7</v>
      </c>
      <c r="E225" s="5" t="n">
        <v>144.3</v>
      </c>
      <c r="F225" s="5" t="n">
        <v>139.6</v>
      </c>
      <c r="G225" s="5" t="n">
        <v>141.7</v>
      </c>
      <c r="H225" s="5" t="n">
        <v>140.7</v>
      </c>
      <c r="I225" s="5" t="n">
        <v>143.9</v>
      </c>
      <c r="K225" s="29" t="n">
        <v>1.315</v>
      </c>
      <c r="L225" s="30" t="n">
        <v>9343</v>
      </c>
    </row>
    <row r="226" customFormat="false" ht="15" hidden="false" customHeight="true" outlineLevel="0" collapsed="false">
      <c r="A226" s="8" t="n">
        <v>224</v>
      </c>
      <c r="B226" s="28" t="n">
        <v>45410</v>
      </c>
      <c r="C226" s="8" t="s">
        <v>0</v>
      </c>
      <c r="D226" s="5" t="n">
        <v>143.9</v>
      </c>
      <c r="E226" s="5" t="n">
        <v>144.1</v>
      </c>
      <c r="F226" s="5" t="n">
        <v>139.4</v>
      </c>
      <c r="G226" s="5" t="n">
        <v>139.9</v>
      </c>
      <c r="H226" s="5" t="n">
        <v>143.9</v>
      </c>
      <c r="I226" s="5" t="n">
        <v>138.2</v>
      </c>
      <c r="K226" s="29" t="n">
        <v>1.923</v>
      </c>
      <c r="L226" s="30" t="n">
        <v>13365</v>
      </c>
    </row>
    <row r="227" customFormat="false" ht="15" hidden="false" customHeight="true" outlineLevel="0" collapsed="false">
      <c r="A227" s="8" t="n">
        <v>225</v>
      </c>
      <c r="B227" s="28" t="n">
        <v>45407</v>
      </c>
      <c r="C227" s="8" t="s">
        <v>0</v>
      </c>
      <c r="D227" s="5" t="n">
        <v>138.2</v>
      </c>
      <c r="E227" s="5" t="n">
        <v>144.8</v>
      </c>
      <c r="F227" s="5" t="n">
        <v>137.3</v>
      </c>
      <c r="G227" s="5" t="n">
        <v>144.8</v>
      </c>
      <c r="H227" s="5" t="n">
        <v>138.2</v>
      </c>
      <c r="I227" s="5" t="n">
        <v>141.5</v>
      </c>
      <c r="K227" s="29" t="n">
        <v>4.815</v>
      </c>
      <c r="L227" s="30" t="n">
        <v>34843</v>
      </c>
    </row>
    <row r="228" customFormat="false" ht="15" hidden="false" customHeight="true" outlineLevel="0" collapsed="false">
      <c r="A228" s="8" t="n">
        <v>226</v>
      </c>
      <c r="B228" s="28" t="n">
        <v>45406</v>
      </c>
      <c r="C228" s="8" t="s">
        <v>0</v>
      </c>
      <c r="D228" s="5" t="n">
        <v>141.5</v>
      </c>
      <c r="E228" s="5" t="n">
        <v>145</v>
      </c>
      <c r="F228" s="5" t="n">
        <v>140.4</v>
      </c>
      <c r="G228" s="5" t="n">
        <v>145</v>
      </c>
      <c r="H228" s="5" t="n">
        <v>141.5</v>
      </c>
      <c r="I228" s="5" t="n">
        <v>143.9</v>
      </c>
      <c r="K228" s="29" t="n">
        <v>1.298</v>
      </c>
      <c r="L228" s="30" t="n">
        <v>9173</v>
      </c>
    </row>
    <row r="229" customFormat="false" ht="15" hidden="false" customHeight="true" outlineLevel="0" collapsed="false">
      <c r="A229" s="8" t="n">
        <v>227</v>
      </c>
      <c r="B229" s="28" t="n">
        <v>45405</v>
      </c>
      <c r="C229" s="8" t="s">
        <v>0</v>
      </c>
      <c r="D229" s="5" t="n">
        <v>143.9</v>
      </c>
      <c r="E229" s="5" t="n">
        <v>157.8</v>
      </c>
      <c r="F229" s="5" t="n">
        <v>141.4</v>
      </c>
      <c r="G229" s="5" t="n">
        <v>157.8</v>
      </c>
      <c r="H229" s="5" t="n">
        <v>143.9</v>
      </c>
      <c r="I229" s="5" t="n">
        <v>145.2</v>
      </c>
      <c r="K229" s="29" t="n">
        <v>1.138</v>
      </c>
      <c r="L229" s="30" t="n">
        <v>7909</v>
      </c>
    </row>
    <row r="230" customFormat="false" ht="15" hidden="false" customHeight="true" outlineLevel="0" collapsed="false">
      <c r="A230" s="8" t="n">
        <v>228</v>
      </c>
      <c r="B230" s="28" t="n">
        <v>45404</v>
      </c>
      <c r="C230" s="8" t="s">
        <v>0</v>
      </c>
      <c r="D230" s="5" t="n">
        <v>145.2</v>
      </c>
      <c r="E230" s="5" t="n">
        <v>149</v>
      </c>
      <c r="F230" s="5" t="n">
        <v>144</v>
      </c>
      <c r="G230" s="5" t="n">
        <v>146</v>
      </c>
      <c r="H230" s="5" t="n">
        <v>145.2</v>
      </c>
      <c r="I230" s="5" t="n">
        <v>145.3</v>
      </c>
      <c r="K230" s="29" t="n">
        <v>1.077</v>
      </c>
      <c r="L230" s="30" t="n">
        <v>7415</v>
      </c>
    </row>
    <row r="231" customFormat="false" ht="15" hidden="false" customHeight="true" outlineLevel="0" collapsed="false">
      <c r="A231" s="8" t="n">
        <v>229</v>
      </c>
      <c r="B231" s="28" t="n">
        <v>45403</v>
      </c>
      <c r="C231" s="8" t="s">
        <v>0</v>
      </c>
      <c r="D231" s="5" t="n">
        <v>145.3</v>
      </c>
      <c r="E231" s="5" t="n">
        <v>152</v>
      </c>
      <c r="F231" s="5" t="n">
        <v>144</v>
      </c>
      <c r="G231" s="5" t="n">
        <v>152</v>
      </c>
      <c r="H231" s="5" t="n">
        <v>145.3</v>
      </c>
      <c r="I231" s="5" t="n">
        <v>148.8</v>
      </c>
      <c r="K231" s="29" t="n">
        <v>2.558</v>
      </c>
      <c r="L231" s="30" t="n">
        <v>17603</v>
      </c>
    </row>
    <row r="232" customFormat="false" ht="15" hidden="false" customHeight="true" outlineLevel="0" collapsed="false">
      <c r="A232" s="8" t="n">
        <v>230</v>
      </c>
      <c r="B232" s="28" t="n">
        <v>45400</v>
      </c>
      <c r="C232" s="8" t="s">
        <v>0</v>
      </c>
      <c r="D232" s="5" t="n">
        <v>148.8</v>
      </c>
      <c r="E232" s="5" t="n">
        <v>153.9</v>
      </c>
      <c r="F232" s="5" t="n">
        <v>146.1</v>
      </c>
      <c r="G232" s="5" t="n">
        <v>153.9</v>
      </c>
      <c r="H232" s="5" t="n">
        <v>148.8</v>
      </c>
      <c r="I232" s="5" t="n">
        <v>152.6</v>
      </c>
      <c r="K232" s="29" t="n">
        <v>1.819</v>
      </c>
      <c r="L232" s="30" t="n">
        <v>12223</v>
      </c>
    </row>
    <row r="233" customFormat="false" ht="15" hidden="false" customHeight="true" outlineLevel="0" collapsed="false">
      <c r="A233" s="8" t="n">
        <v>231</v>
      </c>
      <c r="B233" s="28" t="n">
        <v>45399</v>
      </c>
      <c r="C233" s="8" t="s">
        <v>0</v>
      </c>
      <c r="D233" s="5" t="n">
        <v>152.6</v>
      </c>
      <c r="E233" s="5" t="n">
        <v>156.9</v>
      </c>
      <c r="F233" s="5" t="n">
        <v>151.8</v>
      </c>
      <c r="G233" s="5" t="n">
        <v>151.8</v>
      </c>
      <c r="H233" s="5" t="n">
        <v>152.6</v>
      </c>
      <c r="I233" s="5" t="n">
        <v>153.2</v>
      </c>
      <c r="K233" s="29" t="n">
        <v>1.23</v>
      </c>
      <c r="L233" s="30" t="n">
        <v>8063</v>
      </c>
    </row>
    <row r="234" customFormat="false" ht="15" hidden="false" customHeight="true" outlineLevel="0" collapsed="false">
      <c r="A234" s="8" t="n">
        <v>232</v>
      </c>
      <c r="B234" s="28" t="n">
        <v>45398</v>
      </c>
      <c r="C234" s="8" t="s">
        <v>0</v>
      </c>
      <c r="D234" s="5" t="n">
        <v>153.2</v>
      </c>
      <c r="E234" s="5" t="n">
        <v>159.9</v>
      </c>
      <c r="F234" s="5" t="n">
        <v>151.2</v>
      </c>
      <c r="G234" s="5" t="n">
        <v>159.9</v>
      </c>
      <c r="H234" s="5" t="n">
        <v>153.2</v>
      </c>
      <c r="I234" s="5" t="n">
        <v>153.1</v>
      </c>
      <c r="K234" s="29" t="n">
        <v>0.686</v>
      </c>
      <c r="L234" s="30" t="n">
        <v>4478</v>
      </c>
    </row>
    <row r="235" customFormat="false" ht="15" hidden="false" customHeight="true" outlineLevel="0" collapsed="false">
      <c r="A235" s="8" t="n">
        <v>233</v>
      </c>
      <c r="B235" s="28" t="n">
        <v>45397</v>
      </c>
      <c r="C235" s="8" t="s">
        <v>0</v>
      </c>
      <c r="D235" s="5" t="n">
        <v>153.1</v>
      </c>
      <c r="E235" s="5" t="n">
        <v>157</v>
      </c>
      <c r="F235" s="5" t="n">
        <v>152.5</v>
      </c>
      <c r="G235" s="5" t="n">
        <v>155</v>
      </c>
      <c r="H235" s="5" t="n">
        <v>153.1</v>
      </c>
      <c r="I235" s="5" t="n">
        <v>157</v>
      </c>
      <c r="K235" s="29" t="n">
        <v>1.977</v>
      </c>
      <c r="L235" s="30" t="n">
        <v>12911</v>
      </c>
    </row>
    <row r="236" customFormat="false" ht="15" hidden="false" customHeight="true" outlineLevel="0" collapsed="false">
      <c r="A236" s="8" t="n">
        <v>234</v>
      </c>
      <c r="B236" s="28" t="n">
        <v>45391</v>
      </c>
      <c r="C236" s="8" t="s">
        <v>0</v>
      </c>
      <c r="D236" s="5" t="n">
        <v>157</v>
      </c>
      <c r="E236" s="5" t="n">
        <v>158.2</v>
      </c>
      <c r="F236" s="5" t="n">
        <v>150</v>
      </c>
      <c r="G236" s="5" t="n">
        <v>150</v>
      </c>
      <c r="H236" s="5" t="n">
        <v>157</v>
      </c>
      <c r="I236" s="5" t="n">
        <v>155.2</v>
      </c>
      <c r="K236" s="29" t="n">
        <v>1.359</v>
      </c>
      <c r="L236" s="30" t="n">
        <v>8653</v>
      </c>
    </row>
    <row r="237" customFormat="false" ht="15" hidden="false" customHeight="true" outlineLevel="0" collapsed="false">
      <c r="A237" s="8" t="n">
        <v>235</v>
      </c>
      <c r="B237" s="28" t="n">
        <v>45390</v>
      </c>
      <c r="C237" s="8" t="s">
        <v>0</v>
      </c>
      <c r="D237" s="5" t="n">
        <v>155.2</v>
      </c>
      <c r="E237" s="5" t="n">
        <v>159</v>
      </c>
      <c r="F237" s="5" t="n">
        <v>153.5</v>
      </c>
      <c r="G237" s="5" t="n">
        <v>159</v>
      </c>
      <c r="H237" s="5" t="n">
        <v>155.2</v>
      </c>
      <c r="I237" s="5" t="n">
        <v>155.2</v>
      </c>
      <c r="K237" s="29" t="n">
        <v>0.715</v>
      </c>
      <c r="L237" s="30" t="n">
        <v>4610</v>
      </c>
    </row>
  </sheetData>
  <mergeCells count="1">
    <mergeCell ref="N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12" min="3" style="1" width="11"/>
    <col collapsed="false" customWidth="true" hidden="false" outlineLevel="0" max="14" min="14" style="1" width="14"/>
  </cols>
  <sheetData>
    <row r="1" customFormat="false" ht="15" hidden="false" customHeight="true" outlineLevel="0" collapsed="false">
      <c r="A1" s="26" t="s">
        <v>62</v>
      </c>
      <c r="B1" s="26" t="s">
        <v>63</v>
      </c>
      <c r="C1" s="26" t="s">
        <v>64</v>
      </c>
      <c r="D1" s="26" t="s">
        <v>65</v>
      </c>
      <c r="E1" s="26" t="s">
        <v>66</v>
      </c>
      <c r="F1" s="26" t="s">
        <v>67</v>
      </c>
      <c r="G1" s="26" t="s">
        <v>68</v>
      </c>
      <c r="H1" s="26" t="s">
        <v>69</v>
      </c>
      <c r="I1" s="26" t="s">
        <v>70</v>
      </c>
      <c r="J1" s="26" t="s">
        <v>71</v>
      </c>
      <c r="K1" s="26" t="s">
        <v>72</v>
      </c>
      <c r="L1" s="26" t="s">
        <v>73</v>
      </c>
      <c r="N1" s="19" t="s">
        <v>74</v>
      </c>
    </row>
    <row r="2" customFormat="false" ht="30" hidden="false" customHeight="true" outlineLevel="0" collapsed="false">
      <c r="N2" s="27" t="s">
        <v>75</v>
      </c>
      <c r="O2" s="27"/>
      <c r="P2" s="27"/>
      <c r="Q2" s="27"/>
      <c r="R2" s="27"/>
      <c r="S2" s="27"/>
      <c r="T2" s="27"/>
    </row>
    <row r="3" customFormat="false" ht="15" hidden="false" customHeight="true" outlineLevel="0" collapsed="false">
      <c r="A3" s="8" t="n">
        <v>1</v>
      </c>
      <c r="B3" s="28" t="n">
        <v>45755</v>
      </c>
      <c r="C3" s="8" t="s">
        <v>1</v>
      </c>
      <c r="D3" s="5" t="n">
        <v>214</v>
      </c>
      <c r="E3" s="5" t="n">
        <v>214.5</v>
      </c>
      <c r="F3" s="5" t="n">
        <v>209.7</v>
      </c>
      <c r="G3" s="5" t="n">
        <v>210.2</v>
      </c>
      <c r="H3" s="5" t="n">
        <v>214</v>
      </c>
      <c r="I3" s="5" t="n">
        <v>208.3</v>
      </c>
      <c r="K3" s="29" t="n">
        <v>20.365</v>
      </c>
      <c r="L3" s="30" t="n">
        <v>95162</v>
      </c>
    </row>
    <row r="4" customFormat="false" ht="15" hidden="false" customHeight="true" outlineLevel="0" collapsed="false">
      <c r="A4" s="8" t="n">
        <v>2</v>
      </c>
      <c r="B4" s="28" t="n">
        <v>45754</v>
      </c>
      <c r="C4" s="8" t="s">
        <v>1</v>
      </c>
      <c r="D4" s="5" t="n">
        <v>208.3</v>
      </c>
      <c r="E4" s="5" t="n">
        <v>214.7</v>
      </c>
      <c r="F4" s="5" t="n">
        <v>205.2</v>
      </c>
      <c r="G4" s="5" t="n">
        <v>206.4</v>
      </c>
      <c r="H4" s="5" t="n">
        <v>208.3</v>
      </c>
      <c r="I4" s="5" t="n">
        <v>205.6</v>
      </c>
      <c r="K4" s="29" t="n">
        <v>11.977</v>
      </c>
      <c r="L4" s="30" t="n">
        <v>57497</v>
      </c>
    </row>
    <row r="5" customFormat="false" ht="15" hidden="false" customHeight="true" outlineLevel="0" collapsed="false">
      <c r="A5" s="8" t="n">
        <v>3</v>
      </c>
      <c r="B5" s="28" t="n">
        <v>45753</v>
      </c>
      <c r="C5" s="8" t="s">
        <v>1</v>
      </c>
      <c r="D5" s="5" t="n">
        <v>205.6</v>
      </c>
      <c r="E5" s="5" t="n">
        <v>205.8</v>
      </c>
      <c r="F5" s="5" t="n">
        <v>200.1</v>
      </c>
      <c r="G5" s="5" t="n">
        <v>204</v>
      </c>
      <c r="H5" s="5" t="n">
        <v>205.6</v>
      </c>
      <c r="I5" s="5" t="n">
        <v>206.9</v>
      </c>
      <c r="K5" s="29" t="n">
        <v>1.64</v>
      </c>
      <c r="L5" s="30" t="n">
        <v>7979</v>
      </c>
    </row>
    <row r="6" customFormat="false" ht="15" hidden="false" customHeight="true" outlineLevel="0" collapsed="false">
      <c r="A6" s="8" t="n">
        <v>4</v>
      </c>
      <c r="B6" s="28" t="n">
        <v>45743</v>
      </c>
      <c r="C6" s="8" t="s">
        <v>1</v>
      </c>
      <c r="D6" s="5" t="n">
        <v>206.9</v>
      </c>
      <c r="E6" s="5" t="n">
        <v>208.9</v>
      </c>
      <c r="F6" s="5" t="n">
        <v>205</v>
      </c>
      <c r="G6" s="5" t="n">
        <v>206.7</v>
      </c>
      <c r="H6" s="5" t="n">
        <v>206.9</v>
      </c>
      <c r="I6" s="5" t="n">
        <v>206</v>
      </c>
      <c r="K6" s="29" t="n">
        <v>1.267</v>
      </c>
      <c r="L6" s="30" t="n">
        <v>6124</v>
      </c>
    </row>
    <row r="7" customFormat="false" ht="15" hidden="false" customHeight="true" outlineLevel="0" collapsed="false">
      <c r="A7" s="8" t="n">
        <v>5</v>
      </c>
      <c r="B7" s="28" t="n">
        <v>45741</v>
      </c>
      <c r="C7" s="8" t="s">
        <v>1</v>
      </c>
      <c r="D7" s="5" t="n">
        <v>206</v>
      </c>
      <c r="E7" s="5" t="n">
        <v>207.5</v>
      </c>
      <c r="F7" s="5" t="n">
        <v>204.2</v>
      </c>
      <c r="G7" s="5" t="n">
        <v>207.5</v>
      </c>
      <c r="H7" s="5" t="n">
        <v>206</v>
      </c>
      <c r="I7" s="5" t="n">
        <v>203.5</v>
      </c>
      <c r="K7" s="29" t="n">
        <v>1.035</v>
      </c>
      <c r="L7" s="30" t="n">
        <v>5023</v>
      </c>
    </row>
    <row r="8" customFormat="false" ht="15" hidden="false" customHeight="true" outlineLevel="0" collapsed="false">
      <c r="A8" s="8" t="n">
        <v>6</v>
      </c>
      <c r="B8" s="28" t="n">
        <v>45740</v>
      </c>
      <c r="C8" s="8" t="s">
        <v>1</v>
      </c>
      <c r="D8" s="5" t="n">
        <v>203.5</v>
      </c>
      <c r="E8" s="5" t="n">
        <v>206.8</v>
      </c>
      <c r="F8" s="5" t="n">
        <v>203.1</v>
      </c>
      <c r="G8" s="5" t="n">
        <v>206.8</v>
      </c>
      <c r="H8" s="5" t="n">
        <v>203.5</v>
      </c>
      <c r="I8" s="5" t="n">
        <v>204.4</v>
      </c>
      <c r="K8" s="29" t="n">
        <v>1.255</v>
      </c>
      <c r="L8" s="30" t="n">
        <v>6166</v>
      </c>
    </row>
    <row r="9" customFormat="false" ht="15" hidden="false" customHeight="true" outlineLevel="0" collapsed="false">
      <c r="A9" s="8" t="n">
        <v>7</v>
      </c>
      <c r="B9" s="28" t="n">
        <v>45739</v>
      </c>
      <c r="C9" s="8" t="s">
        <v>1</v>
      </c>
      <c r="D9" s="5" t="n">
        <v>204.4</v>
      </c>
      <c r="E9" s="5" t="n">
        <v>207.5</v>
      </c>
      <c r="F9" s="5" t="n">
        <v>203.8</v>
      </c>
      <c r="G9" s="5" t="n">
        <v>205.1</v>
      </c>
      <c r="H9" s="5" t="n">
        <v>204.4</v>
      </c>
      <c r="I9" s="5" t="n">
        <v>204.4</v>
      </c>
      <c r="K9" s="29" t="n">
        <v>2.178</v>
      </c>
      <c r="L9" s="30" t="n">
        <v>10655</v>
      </c>
    </row>
    <row r="10" customFormat="false" ht="15" hidden="false" customHeight="true" outlineLevel="0" collapsed="false">
      <c r="A10" s="8" t="n">
        <v>8</v>
      </c>
      <c r="B10" s="28" t="n">
        <v>45736</v>
      </c>
      <c r="C10" s="8" t="s">
        <v>1</v>
      </c>
      <c r="D10" s="5" t="n">
        <v>204.4</v>
      </c>
      <c r="E10" s="5" t="n">
        <v>206.7</v>
      </c>
      <c r="F10" s="5" t="n">
        <v>204</v>
      </c>
      <c r="G10" s="5" t="n">
        <v>206.7</v>
      </c>
      <c r="H10" s="5" t="n">
        <v>204.4</v>
      </c>
      <c r="I10" s="5" t="n">
        <v>204.8</v>
      </c>
      <c r="K10" s="29" t="n">
        <v>2.22</v>
      </c>
      <c r="L10" s="30" t="n">
        <v>10863</v>
      </c>
    </row>
    <row r="11" customFormat="false" ht="15" hidden="false" customHeight="true" outlineLevel="0" collapsed="false">
      <c r="A11" s="8" t="n">
        <v>9</v>
      </c>
      <c r="B11" s="28" t="n">
        <v>45735</v>
      </c>
      <c r="C11" s="8" t="s">
        <v>1</v>
      </c>
      <c r="D11" s="5" t="n">
        <v>204.8</v>
      </c>
      <c r="E11" s="5" t="n">
        <v>206.5</v>
      </c>
      <c r="F11" s="5" t="n">
        <v>204.5</v>
      </c>
      <c r="G11" s="5" t="n">
        <v>206.5</v>
      </c>
      <c r="H11" s="5" t="n">
        <v>204.8</v>
      </c>
      <c r="I11" s="5" t="n">
        <v>204.6</v>
      </c>
      <c r="K11" s="29" t="n">
        <v>1.622</v>
      </c>
      <c r="L11" s="30" t="n">
        <v>7918</v>
      </c>
    </row>
    <row r="12" customFormat="false" ht="15" hidden="false" customHeight="true" outlineLevel="0" collapsed="false">
      <c r="A12" s="8" t="n">
        <v>10</v>
      </c>
      <c r="B12" s="28" t="n">
        <v>45734</v>
      </c>
      <c r="C12" s="8" t="s">
        <v>1</v>
      </c>
      <c r="D12" s="5" t="n">
        <v>204.6</v>
      </c>
      <c r="E12" s="5" t="n">
        <v>207</v>
      </c>
      <c r="F12" s="5" t="n">
        <v>203</v>
      </c>
      <c r="G12" s="5" t="n">
        <v>207</v>
      </c>
      <c r="H12" s="5" t="n">
        <v>204.6</v>
      </c>
      <c r="I12" s="5" t="n">
        <v>205</v>
      </c>
      <c r="K12" s="29" t="n">
        <v>3.248</v>
      </c>
      <c r="L12" s="30" t="n">
        <v>15877</v>
      </c>
    </row>
    <row r="13" customFormat="false" ht="15" hidden="false" customHeight="true" outlineLevel="0" collapsed="false">
      <c r="A13" s="8" t="n">
        <v>11</v>
      </c>
      <c r="B13" s="28" t="n">
        <v>45733</v>
      </c>
      <c r="C13" s="8" t="s">
        <v>1</v>
      </c>
      <c r="D13" s="5" t="n">
        <v>205</v>
      </c>
      <c r="E13" s="5" t="n">
        <v>207</v>
      </c>
      <c r="F13" s="5" t="n">
        <v>204.6</v>
      </c>
      <c r="G13" s="5" t="n">
        <v>207</v>
      </c>
      <c r="H13" s="5" t="n">
        <v>205</v>
      </c>
      <c r="I13" s="5" t="n">
        <v>205</v>
      </c>
      <c r="K13" s="29" t="n">
        <v>1.545</v>
      </c>
      <c r="L13" s="30" t="n">
        <v>7539</v>
      </c>
    </row>
    <row r="14" customFormat="false" ht="15" hidden="false" customHeight="true" outlineLevel="0" collapsed="false">
      <c r="A14" s="8" t="n">
        <v>12</v>
      </c>
      <c r="B14" s="28" t="n">
        <v>45732</v>
      </c>
      <c r="C14" s="8" t="s">
        <v>1</v>
      </c>
      <c r="D14" s="5" t="n">
        <v>205</v>
      </c>
      <c r="E14" s="5" t="n">
        <v>207.9</v>
      </c>
      <c r="F14" s="5" t="n">
        <v>203</v>
      </c>
      <c r="G14" s="5" t="n">
        <v>207.9</v>
      </c>
      <c r="H14" s="5" t="n">
        <v>205</v>
      </c>
      <c r="I14" s="5" t="n">
        <v>206.6</v>
      </c>
      <c r="K14" s="29" t="n">
        <v>3.102</v>
      </c>
      <c r="L14" s="30" t="n">
        <v>15130</v>
      </c>
    </row>
    <row r="15" customFormat="false" ht="15" hidden="false" customHeight="true" outlineLevel="0" collapsed="false">
      <c r="A15" s="8" t="n">
        <v>13</v>
      </c>
      <c r="B15" s="28" t="n">
        <v>45729</v>
      </c>
      <c r="C15" s="8" t="s">
        <v>1</v>
      </c>
      <c r="D15" s="5" t="n">
        <v>206.6</v>
      </c>
      <c r="E15" s="5" t="n">
        <v>207</v>
      </c>
      <c r="F15" s="5" t="n">
        <v>205.6</v>
      </c>
      <c r="G15" s="5" t="n">
        <v>207</v>
      </c>
      <c r="H15" s="5" t="n">
        <v>206.6</v>
      </c>
      <c r="I15" s="5" t="n">
        <v>207.5</v>
      </c>
      <c r="K15" s="29" t="n">
        <v>1.729</v>
      </c>
      <c r="L15" s="30" t="n">
        <v>8371</v>
      </c>
    </row>
    <row r="16" customFormat="false" ht="15" hidden="false" customHeight="true" outlineLevel="0" collapsed="false">
      <c r="A16" s="8" t="n">
        <v>14</v>
      </c>
      <c r="B16" s="28" t="n">
        <v>45728</v>
      </c>
      <c r="C16" s="8" t="s">
        <v>1</v>
      </c>
      <c r="D16" s="5" t="n">
        <v>207.5</v>
      </c>
      <c r="E16" s="5" t="n">
        <v>211</v>
      </c>
      <c r="F16" s="5" t="n">
        <v>205</v>
      </c>
      <c r="G16" s="5" t="n">
        <v>207.9</v>
      </c>
      <c r="H16" s="5" t="n">
        <v>207.5</v>
      </c>
      <c r="I16" s="5" t="n">
        <v>205.2</v>
      </c>
      <c r="K16" s="29" t="n">
        <v>3.532</v>
      </c>
      <c r="L16" s="30" t="n">
        <v>17020</v>
      </c>
    </row>
    <row r="17" customFormat="false" ht="15" hidden="false" customHeight="true" outlineLevel="0" collapsed="false">
      <c r="A17" s="8" t="n">
        <v>15</v>
      </c>
      <c r="B17" s="28" t="n">
        <v>45727</v>
      </c>
      <c r="C17" s="8" t="s">
        <v>1</v>
      </c>
      <c r="D17" s="5" t="n">
        <v>205.2</v>
      </c>
      <c r="E17" s="5" t="n">
        <v>207</v>
      </c>
      <c r="F17" s="5" t="n">
        <v>204.3</v>
      </c>
      <c r="G17" s="5" t="n">
        <v>207</v>
      </c>
      <c r="H17" s="5" t="n">
        <v>205.2</v>
      </c>
      <c r="I17" s="5" t="n">
        <v>205.9</v>
      </c>
      <c r="K17" s="29" t="n">
        <v>1.957</v>
      </c>
      <c r="L17" s="30" t="n">
        <v>9539</v>
      </c>
    </row>
    <row r="18" customFormat="false" ht="15" hidden="false" customHeight="true" outlineLevel="0" collapsed="false">
      <c r="A18" s="8" t="n">
        <v>16</v>
      </c>
      <c r="B18" s="28" t="n">
        <v>45726</v>
      </c>
      <c r="C18" s="8" t="s">
        <v>1</v>
      </c>
      <c r="D18" s="5" t="n">
        <v>205.9</v>
      </c>
      <c r="E18" s="5" t="n">
        <v>207.5</v>
      </c>
      <c r="F18" s="5" t="n">
        <v>205.8</v>
      </c>
      <c r="G18" s="5" t="n">
        <v>207.5</v>
      </c>
      <c r="H18" s="5" t="n">
        <v>205.9</v>
      </c>
      <c r="I18" s="5" t="n">
        <v>204.9</v>
      </c>
      <c r="K18" s="29" t="n">
        <v>0.968</v>
      </c>
      <c r="L18" s="30" t="n">
        <v>4701</v>
      </c>
    </row>
    <row r="19" customFormat="false" ht="15" hidden="false" customHeight="true" outlineLevel="0" collapsed="false">
      <c r="A19" s="8" t="n">
        <v>17</v>
      </c>
      <c r="B19" s="28" t="n">
        <v>45725</v>
      </c>
      <c r="C19" s="8" t="s">
        <v>1</v>
      </c>
      <c r="D19" s="5" t="n">
        <v>204.9</v>
      </c>
      <c r="E19" s="5" t="n">
        <v>208</v>
      </c>
      <c r="F19" s="5" t="n">
        <v>204.1</v>
      </c>
      <c r="G19" s="5" t="n">
        <v>206.3</v>
      </c>
      <c r="H19" s="5" t="n">
        <v>204.9</v>
      </c>
      <c r="I19" s="5" t="n">
        <v>206.9</v>
      </c>
      <c r="K19" s="29" t="n">
        <v>2.15</v>
      </c>
      <c r="L19" s="30" t="n">
        <v>10491</v>
      </c>
    </row>
    <row r="20" customFormat="false" ht="15" hidden="false" customHeight="true" outlineLevel="0" collapsed="false">
      <c r="A20" s="8" t="n">
        <v>18</v>
      </c>
      <c r="B20" s="28" t="n">
        <v>45722</v>
      </c>
      <c r="C20" s="8" t="s">
        <v>1</v>
      </c>
      <c r="D20" s="5" t="n">
        <v>206.9</v>
      </c>
      <c r="E20" s="5" t="n">
        <v>207.9</v>
      </c>
      <c r="F20" s="5" t="n">
        <v>206</v>
      </c>
      <c r="G20" s="5" t="n">
        <v>207.2</v>
      </c>
      <c r="H20" s="5" t="n">
        <v>206.9</v>
      </c>
      <c r="I20" s="5" t="n">
        <v>206.9</v>
      </c>
      <c r="K20" s="29" t="n">
        <v>5.386</v>
      </c>
      <c r="L20" s="30" t="n">
        <v>26030</v>
      </c>
    </row>
    <row r="21" customFormat="false" ht="15" hidden="false" customHeight="true" outlineLevel="0" collapsed="false">
      <c r="A21" s="8" t="n">
        <v>19</v>
      </c>
      <c r="B21" s="28" t="n">
        <v>45721</v>
      </c>
      <c r="C21" s="8" t="s">
        <v>1</v>
      </c>
      <c r="D21" s="5" t="n">
        <v>206.9</v>
      </c>
      <c r="E21" s="5" t="n">
        <v>208.8</v>
      </c>
      <c r="F21" s="5" t="n">
        <v>206</v>
      </c>
      <c r="G21" s="5" t="n">
        <v>207.7</v>
      </c>
      <c r="H21" s="5" t="n">
        <v>206.9</v>
      </c>
      <c r="I21" s="5" t="n">
        <v>207.3</v>
      </c>
      <c r="K21" s="29" t="n">
        <v>1.212</v>
      </c>
      <c r="L21" s="30" t="n">
        <v>5860</v>
      </c>
    </row>
    <row r="22" customFormat="false" ht="15" hidden="false" customHeight="true" outlineLevel="0" collapsed="false">
      <c r="A22" s="8" t="n">
        <v>20</v>
      </c>
      <c r="B22" s="28" t="n">
        <v>45720</v>
      </c>
      <c r="C22" s="8" t="s">
        <v>1</v>
      </c>
      <c r="D22" s="5" t="n">
        <v>207.3</v>
      </c>
      <c r="E22" s="5" t="n">
        <v>209.6</v>
      </c>
      <c r="F22" s="5" t="n">
        <v>205.2</v>
      </c>
      <c r="G22" s="5" t="n">
        <v>207.8</v>
      </c>
      <c r="H22" s="5" t="n">
        <v>207.3</v>
      </c>
      <c r="I22" s="5" t="n">
        <v>208.2</v>
      </c>
      <c r="K22" s="29" t="n">
        <v>2.311</v>
      </c>
      <c r="L22" s="30" t="n">
        <v>11150</v>
      </c>
    </row>
    <row r="23" customFormat="false" ht="15" hidden="false" customHeight="true" outlineLevel="0" collapsed="false">
      <c r="A23" s="8" t="n">
        <v>21</v>
      </c>
      <c r="B23" s="28" t="n">
        <v>45719</v>
      </c>
      <c r="C23" s="8" t="s">
        <v>1</v>
      </c>
      <c r="D23" s="5" t="n">
        <v>208.2</v>
      </c>
      <c r="E23" s="5" t="n">
        <v>210.9</v>
      </c>
      <c r="F23" s="5" t="n">
        <v>206.8</v>
      </c>
      <c r="G23" s="5" t="n">
        <v>208.6</v>
      </c>
      <c r="H23" s="5" t="n">
        <v>208.2</v>
      </c>
      <c r="I23" s="5" t="n">
        <v>206.9</v>
      </c>
      <c r="K23" s="29" t="n">
        <v>8.895</v>
      </c>
      <c r="L23" s="30" t="n">
        <v>42722</v>
      </c>
    </row>
    <row r="24" customFormat="false" ht="15" hidden="false" customHeight="true" outlineLevel="0" collapsed="false">
      <c r="A24" s="8" t="n">
        <v>22</v>
      </c>
      <c r="B24" s="28" t="n">
        <v>45718</v>
      </c>
      <c r="C24" s="8" t="s">
        <v>1</v>
      </c>
      <c r="D24" s="5" t="n">
        <v>206.9</v>
      </c>
      <c r="E24" s="5" t="n">
        <v>208.2</v>
      </c>
      <c r="F24" s="5" t="n">
        <v>201.5</v>
      </c>
      <c r="G24" s="5" t="n">
        <v>202</v>
      </c>
      <c r="H24" s="5" t="n">
        <v>206.9</v>
      </c>
      <c r="I24" s="5" t="n">
        <v>203.2</v>
      </c>
      <c r="K24" s="29" t="n">
        <v>5.465</v>
      </c>
      <c r="L24" s="30" t="n">
        <v>26415</v>
      </c>
    </row>
    <row r="25" customFormat="false" ht="15" hidden="false" customHeight="true" outlineLevel="0" collapsed="false">
      <c r="A25" s="8" t="n">
        <v>23</v>
      </c>
      <c r="B25" s="28" t="n">
        <v>45715</v>
      </c>
      <c r="C25" s="8" t="s">
        <v>1</v>
      </c>
      <c r="D25" s="5" t="n">
        <v>203.2</v>
      </c>
      <c r="E25" s="5" t="n">
        <v>204</v>
      </c>
      <c r="F25" s="5" t="n">
        <v>201.1</v>
      </c>
      <c r="G25" s="5" t="n">
        <v>201.5</v>
      </c>
      <c r="H25" s="5" t="n">
        <v>203.2</v>
      </c>
      <c r="I25" s="5" t="n">
        <v>202.1</v>
      </c>
      <c r="K25" s="29" t="n">
        <v>4.435</v>
      </c>
      <c r="L25" s="30" t="n">
        <v>21824</v>
      </c>
    </row>
    <row r="26" customFormat="false" ht="15" hidden="false" customHeight="true" outlineLevel="0" collapsed="false">
      <c r="A26" s="8" t="n">
        <v>24</v>
      </c>
      <c r="B26" s="28" t="n">
        <v>45714</v>
      </c>
      <c r="C26" s="8" t="s">
        <v>1</v>
      </c>
      <c r="D26" s="5" t="n">
        <v>202.1</v>
      </c>
      <c r="E26" s="5" t="n">
        <v>203.5</v>
      </c>
      <c r="F26" s="5" t="n">
        <v>201.5</v>
      </c>
      <c r="G26" s="5" t="n">
        <v>203.5</v>
      </c>
      <c r="H26" s="5" t="n">
        <v>202.1</v>
      </c>
      <c r="I26" s="5" t="n">
        <v>203</v>
      </c>
      <c r="K26" s="29" t="n">
        <v>0.751</v>
      </c>
      <c r="L26" s="30" t="n">
        <v>3717</v>
      </c>
    </row>
    <row r="27" customFormat="false" ht="15" hidden="false" customHeight="true" outlineLevel="0" collapsed="false">
      <c r="A27" s="8" t="n">
        <v>25</v>
      </c>
      <c r="B27" s="28" t="n">
        <v>45713</v>
      </c>
      <c r="C27" s="8" t="s">
        <v>1</v>
      </c>
      <c r="D27" s="5" t="n">
        <v>203</v>
      </c>
      <c r="E27" s="5" t="n">
        <v>203.9</v>
      </c>
      <c r="F27" s="5" t="n">
        <v>201.3</v>
      </c>
      <c r="G27" s="5" t="n">
        <v>203.9</v>
      </c>
      <c r="H27" s="5" t="n">
        <v>203</v>
      </c>
      <c r="I27" s="5" t="n">
        <v>201.1</v>
      </c>
      <c r="K27" s="29" t="n">
        <v>2.273</v>
      </c>
      <c r="L27" s="30" t="n">
        <v>11195</v>
      </c>
    </row>
    <row r="28" customFormat="false" ht="15" hidden="false" customHeight="true" outlineLevel="0" collapsed="false">
      <c r="A28" s="8" t="n">
        <v>26</v>
      </c>
      <c r="B28" s="28" t="n">
        <v>45712</v>
      </c>
      <c r="C28" s="8" t="s">
        <v>1</v>
      </c>
      <c r="D28" s="5" t="n">
        <v>201.1</v>
      </c>
      <c r="E28" s="5" t="n">
        <v>202</v>
      </c>
      <c r="F28" s="5" t="n">
        <v>201</v>
      </c>
      <c r="G28" s="5" t="n">
        <v>201.3</v>
      </c>
      <c r="H28" s="5" t="n">
        <v>201.1</v>
      </c>
      <c r="I28" s="5" t="n">
        <v>201.2</v>
      </c>
      <c r="K28" s="29" t="n">
        <v>2.524</v>
      </c>
      <c r="L28" s="30" t="n">
        <v>12553</v>
      </c>
    </row>
    <row r="29" customFormat="false" ht="15" hidden="false" customHeight="true" outlineLevel="0" collapsed="false">
      <c r="A29" s="8" t="n">
        <v>27</v>
      </c>
      <c r="B29" s="28" t="n">
        <v>45711</v>
      </c>
      <c r="C29" s="8" t="s">
        <v>1</v>
      </c>
      <c r="D29" s="5" t="n">
        <v>201.2</v>
      </c>
      <c r="E29" s="5" t="n">
        <v>203</v>
      </c>
      <c r="F29" s="5" t="n">
        <v>201.1</v>
      </c>
      <c r="G29" s="5" t="n">
        <v>203</v>
      </c>
      <c r="H29" s="5" t="n">
        <v>201.2</v>
      </c>
      <c r="I29" s="5" t="n">
        <v>202.3</v>
      </c>
      <c r="K29" s="29" t="n">
        <v>1.227</v>
      </c>
      <c r="L29" s="30" t="n">
        <v>6098</v>
      </c>
    </row>
    <row r="30" customFormat="false" ht="15" hidden="false" customHeight="true" outlineLevel="0" collapsed="false">
      <c r="A30" s="8" t="n">
        <v>28</v>
      </c>
      <c r="B30" s="28" t="n">
        <v>45708</v>
      </c>
      <c r="C30" s="8" t="s">
        <v>1</v>
      </c>
      <c r="D30" s="5" t="n">
        <v>202.3</v>
      </c>
      <c r="E30" s="5" t="n">
        <v>203.2</v>
      </c>
      <c r="F30" s="5" t="n">
        <v>201</v>
      </c>
      <c r="G30" s="5" t="n">
        <v>201.6</v>
      </c>
      <c r="H30" s="5" t="n">
        <v>202.3</v>
      </c>
      <c r="I30" s="5" t="n">
        <v>201.2</v>
      </c>
      <c r="K30" s="29" t="n">
        <v>1.225</v>
      </c>
      <c r="L30" s="30" t="n">
        <v>6053</v>
      </c>
    </row>
    <row r="31" customFormat="false" ht="15" hidden="false" customHeight="true" outlineLevel="0" collapsed="false">
      <c r="A31" s="8" t="n">
        <v>29</v>
      </c>
      <c r="B31" s="28" t="n">
        <v>45707</v>
      </c>
      <c r="C31" s="8" t="s">
        <v>1</v>
      </c>
      <c r="D31" s="5" t="n">
        <v>201.2</v>
      </c>
      <c r="E31" s="5" t="n">
        <v>203.6</v>
      </c>
      <c r="F31" s="5" t="n">
        <v>200.6</v>
      </c>
      <c r="G31" s="5" t="n">
        <v>203.6</v>
      </c>
      <c r="H31" s="5" t="n">
        <v>201.2</v>
      </c>
      <c r="I31" s="5" t="n">
        <v>202.3</v>
      </c>
      <c r="K31" s="29" t="n">
        <v>2.078</v>
      </c>
      <c r="L31" s="30" t="n">
        <v>10329</v>
      </c>
    </row>
    <row r="32" customFormat="false" ht="15" hidden="false" customHeight="true" outlineLevel="0" collapsed="false">
      <c r="A32" s="8" t="n">
        <v>30</v>
      </c>
      <c r="B32" s="28" t="n">
        <v>45706</v>
      </c>
      <c r="C32" s="8" t="s">
        <v>1</v>
      </c>
      <c r="D32" s="5" t="n">
        <v>202.3</v>
      </c>
      <c r="E32" s="5" t="n">
        <v>204.2</v>
      </c>
      <c r="F32" s="5" t="n">
        <v>201</v>
      </c>
      <c r="G32" s="5" t="n">
        <v>201</v>
      </c>
      <c r="H32" s="5" t="n">
        <v>202.3</v>
      </c>
      <c r="I32" s="5" t="n">
        <v>200.9</v>
      </c>
      <c r="K32" s="29" t="n">
        <v>0.968</v>
      </c>
      <c r="L32" s="30" t="n">
        <v>4783</v>
      </c>
    </row>
    <row r="33" customFormat="false" ht="15" hidden="false" customHeight="true" outlineLevel="0" collapsed="false">
      <c r="A33" s="8" t="n">
        <v>31</v>
      </c>
      <c r="B33" s="28" t="n">
        <v>45705</v>
      </c>
      <c r="C33" s="8" t="s">
        <v>1</v>
      </c>
      <c r="D33" s="5" t="n">
        <v>200.9</v>
      </c>
      <c r="E33" s="5" t="n">
        <v>204.3</v>
      </c>
      <c r="F33" s="5" t="n">
        <v>200.1</v>
      </c>
      <c r="G33" s="5" t="n">
        <v>203.6</v>
      </c>
      <c r="H33" s="5" t="n">
        <v>200.9</v>
      </c>
      <c r="I33" s="5" t="n">
        <v>201.9</v>
      </c>
      <c r="K33" s="29" t="n">
        <v>2.484</v>
      </c>
      <c r="L33" s="30" t="n">
        <v>12365</v>
      </c>
    </row>
    <row r="34" customFormat="false" ht="15" hidden="false" customHeight="true" outlineLevel="0" collapsed="false">
      <c r="A34" s="8" t="n">
        <v>32</v>
      </c>
      <c r="B34" s="28" t="n">
        <v>45704</v>
      </c>
      <c r="C34" s="8" t="s">
        <v>1</v>
      </c>
      <c r="D34" s="5" t="n">
        <v>201.9</v>
      </c>
      <c r="E34" s="5" t="n">
        <v>203</v>
      </c>
      <c r="F34" s="5" t="n">
        <v>201.2</v>
      </c>
      <c r="G34" s="5" t="n">
        <v>201.2</v>
      </c>
      <c r="H34" s="5" t="n">
        <v>201.9</v>
      </c>
      <c r="I34" s="5" t="n">
        <v>200.7</v>
      </c>
      <c r="K34" s="29" t="n">
        <v>1.354</v>
      </c>
      <c r="L34" s="30" t="n">
        <v>6706</v>
      </c>
    </row>
    <row r="35" customFormat="false" ht="15" hidden="false" customHeight="true" outlineLevel="0" collapsed="false">
      <c r="A35" s="8" t="n">
        <v>33</v>
      </c>
      <c r="B35" s="28" t="n">
        <v>45701</v>
      </c>
      <c r="C35" s="8" t="s">
        <v>1</v>
      </c>
      <c r="D35" s="5" t="n">
        <v>200.7</v>
      </c>
      <c r="E35" s="5" t="n">
        <v>203.8</v>
      </c>
      <c r="F35" s="5" t="n">
        <v>200.1</v>
      </c>
      <c r="G35" s="5" t="n">
        <v>203.8</v>
      </c>
      <c r="H35" s="5" t="n">
        <v>200.7</v>
      </c>
      <c r="I35" s="5" t="n">
        <v>201.6</v>
      </c>
      <c r="K35" s="29" t="n">
        <v>1.573</v>
      </c>
      <c r="L35" s="30" t="n">
        <v>7837</v>
      </c>
    </row>
    <row r="36" customFormat="false" ht="15" hidden="false" customHeight="true" outlineLevel="0" collapsed="false">
      <c r="A36" s="8" t="n">
        <v>34</v>
      </c>
      <c r="B36" s="28" t="n">
        <v>45700</v>
      </c>
      <c r="C36" s="8" t="s">
        <v>1</v>
      </c>
      <c r="D36" s="5" t="n">
        <v>201.6</v>
      </c>
      <c r="E36" s="5" t="n">
        <v>203.9</v>
      </c>
      <c r="F36" s="5" t="n">
        <v>200.5</v>
      </c>
      <c r="G36" s="5" t="n">
        <v>203.9</v>
      </c>
      <c r="H36" s="5" t="n">
        <v>201.6</v>
      </c>
      <c r="I36" s="5" t="n">
        <v>203.2</v>
      </c>
      <c r="K36" s="29" t="n">
        <v>1.193</v>
      </c>
      <c r="L36" s="30" t="n">
        <v>5916</v>
      </c>
    </row>
    <row r="37" customFormat="false" ht="15" hidden="false" customHeight="true" outlineLevel="0" collapsed="false">
      <c r="A37" s="8" t="n">
        <v>35</v>
      </c>
      <c r="B37" s="28" t="n">
        <v>45699</v>
      </c>
      <c r="C37" s="8" t="s">
        <v>1</v>
      </c>
      <c r="D37" s="5" t="n">
        <v>203.2</v>
      </c>
      <c r="E37" s="5" t="n">
        <v>203.9</v>
      </c>
      <c r="F37" s="5" t="n">
        <v>200.2</v>
      </c>
      <c r="G37" s="5" t="n">
        <v>201</v>
      </c>
      <c r="H37" s="5" t="n">
        <v>203.2</v>
      </c>
      <c r="I37" s="5" t="n">
        <v>200.6</v>
      </c>
      <c r="K37" s="29" t="n">
        <v>3.334</v>
      </c>
      <c r="L37" s="30" t="n">
        <v>16406</v>
      </c>
    </row>
    <row r="38" customFormat="false" ht="15" hidden="false" customHeight="true" outlineLevel="0" collapsed="false">
      <c r="A38" s="8" t="n">
        <v>36</v>
      </c>
      <c r="B38" s="28" t="n">
        <v>45698</v>
      </c>
      <c r="C38" s="8" t="s">
        <v>1</v>
      </c>
      <c r="D38" s="5" t="n">
        <v>200.6</v>
      </c>
      <c r="E38" s="5" t="n">
        <v>202.8</v>
      </c>
      <c r="F38" s="5" t="n">
        <v>199.5</v>
      </c>
      <c r="G38" s="5" t="n">
        <v>200</v>
      </c>
      <c r="H38" s="5" t="n">
        <v>200.6</v>
      </c>
      <c r="I38" s="5" t="n">
        <v>199.2</v>
      </c>
      <c r="K38" s="29" t="n">
        <v>0.708</v>
      </c>
      <c r="L38" s="30" t="n">
        <v>3530</v>
      </c>
    </row>
    <row r="39" customFormat="false" ht="15" hidden="false" customHeight="true" outlineLevel="0" collapsed="false">
      <c r="A39" s="8" t="n">
        <v>37</v>
      </c>
      <c r="B39" s="28" t="n">
        <v>45697</v>
      </c>
      <c r="C39" s="8" t="s">
        <v>1</v>
      </c>
      <c r="D39" s="5" t="n">
        <v>199.2</v>
      </c>
      <c r="E39" s="5" t="n">
        <v>202</v>
      </c>
      <c r="F39" s="5" t="n">
        <v>198.5</v>
      </c>
      <c r="G39" s="5" t="n">
        <v>202</v>
      </c>
      <c r="H39" s="5" t="n">
        <v>199.2</v>
      </c>
      <c r="I39" s="5" t="n">
        <v>199.6</v>
      </c>
      <c r="K39" s="29" t="n">
        <v>4.732</v>
      </c>
      <c r="L39" s="30" t="n">
        <v>23753</v>
      </c>
    </row>
    <row r="40" customFormat="false" ht="15" hidden="false" customHeight="true" outlineLevel="0" collapsed="false">
      <c r="A40" s="8" t="n">
        <v>38</v>
      </c>
      <c r="B40" s="28" t="n">
        <v>45694</v>
      </c>
      <c r="C40" s="8" t="s">
        <v>1</v>
      </c>
      <c r="D40" s="5" t="n">
        <v>199.6</v>
      </c>
      <c r="E40" s="5" t="n">
        <v>201.8</v>
      </c>
      <c r="F40" s="5" t="n">
        <v>199</v>
      </c>
      <c r="G40" s="5" t="n">
        <v>200.9</v>
      </c>
      <c r="H40" s="5" t="n">
        <v>199.6</v>
      </c>
      <c r="I40" s="5" t="n">
        <v>200.5</v>
      </c>
      <c r="K40" s="29" t="n">
        <v>5.106</v>
      </c>
      <c r="L40" s="30" t="n">
        <v>25582</v>
      </c>
    </row>
    <row r="41" customFormat="false" ht="15" hidden="false" customHeight="true" outlineLevel="0" collapsed="false">
      <c r="A41" s="8" t="n">
        <v>39</v>
      </c>
      <c r="B41" s="28" t="n">
        <v>45693</v>
      </c>
      <c r="C41" s="8" t="s">
        <v>1</v>
      </c>
      <c r="D41" s="5" t="n">
        <v>200.5</v>
      </c>
      <c r="E41" s="5" t="n">
        <v>202.9</v>
      </c>
      <c r="F41" s="5" t="n">
        <v>199.7</v>
      </c>
      <c r="G41" s="5" t="n">
        <v>202.9</v>
      </c>
      <c r="H41" s="5" t="n">
        <v>200.5</v>
      </c>
      <c r="I41" s="5" t="n">
        <v>201.5</v>
      </c>
      <c r="K41" s="29" t="n">
        <v>6.322</v>
      </c>
      <c r="L41" s="30" t="n">
        <v>31533</v>
      </c>
    </row>
    <row r="42" customFormat="false" ht="15" hidden="false" customHeight="true" outlineLevel="0" collapsed="false">
      <c r="A42" s="8" t="n">
        <v>40</v>
      </c>
      <c r="B42" s="28" t="n">
        <v>45692</v>
      </c>
      <c r="C42" s="8" t="s">
        <v>1</v>
      </c>
      <c r="D42" s="5" t="n">
        <v>201.5</v>
      </c>
      <c r="E42" s="5" t="n">
        <v>203</v>
      </c>
      <c r="F42" s="5" t="n">
        <v>199.9</v>
      </c>
      <c r="G42" s="5" t="n">
        <v>203</v>
      </c>
      <c r="H42" s="5" t="n">
        <v>201.5</v>
      </c>
      <c r="I42" s="5" t="n">
        <v>201.2</v>
      </c>
      <c r="K42" s="29" t="n">
        <v>2.177</v>
      </c>
      <c r="L42" s="30" t="n">
        <v>10802</v>
      </c>
    </row>
    <row r="43" customFormat="false" ht="15" hidden="false" customHeight="true" outlineLevel="0" collapsed="false">
      <c r="A43" s="8" t="n">
        <v>41</v>
      </c>
      <c r="B43" s="28" t="n">
        <v>45691</v>
      </c>
      <c r="C43" s="8" t="s">
        <v>1</v>
      </c>
      <c r="D43" s="5" t="n">
        <v>201.2</v>
      </c>
      <c r="E43" s="5" t="n">
        <v>203</v>
      </c>
      <c r="F43" s="5" t="n">
        <v>200</v>
      </c>
      <c r="G43" s="5" t="n">
        <v>200.3</v>
      </c>
      <c r="H43" s="5" t="n">
        <v>201.2</v>
      </c>
      <c r="I43" s="5" t="n">
        <v>201.1</v>
      </c>
      <c r="K43" s="29" t="n">
        <v>1.556</v>
      </c>
      <c r="L43" s="30" t="n">
        <v>7735</v>
      </c>
    </row>
    <row r="44" customFormat="false" ht="15" hidden="false" customHeight="true" outlineLevel="0" collapsed="false">
      <c r="A44" s="8" t="n">
        <v>42</v>
      </c>
      <c r="B44" s="28" t="n">
        <v>45690</v>
      </c>
      <c r="C44" s="8" t="s">
        <v>1</v>
      </c>
      <c r="D44" s="5" t="n">
        <v>201.1</v>
      </c>
      <c r="E44" s="5" t="n">
        <v>203.2</v>
      </c>
      <c r="F44" s="5" t="n">
        <v>201</v>
      </c>
      <c r="G44" s="5" t="n">
        <v>201.6</v>
      </c>
      <c r="H44" s="5" t="n">
        <v>201.1</v>
      </c>
      <c r="I44" s="5" t="n">
        <v>201.4</v>
      </c>
      <c r="K44" s="29" t="n">
        <v>2.347</v>
      </c>
      <c r="L44" s="30" t="n">
        <v>11669</v>
      </c>
    </row>
    <row r="45" customFormat="false" ht="15" hidden="false" customHeight="true" outlineLevel="0" collapsed="false">
      <c r="A45" s="8" t="n">
        <v>43</v>
      </c>
      <c r="B45" s="28" t="n">
        <v>45687</v>
      </c>
      <c r="C45" s="8" t="s">
        <v>1</v>
      </c>
      <c r="D45" s="5" t="n">
        <v>201.4</v>
      </c>
      <c r="E45" s="5" t="n">
        <v>205.5</v>
      </c>
      <c r="F45" s="5" t="n">
        <v>200.3</v>
      </c>
      <c r="G45" s="5" t="n">
        <v>205.5</v>
      </c>
      <c r="H45" s="5" t="n">
        <v>201.4</v>
      </c>
      <c r="I45" s="5" t="n">
        <v>202.7</v>
      </c>
      <c r="K45" s="29" t="n">
        <v>2.725</v>
      </c>
      <c r="L45" s="30" t="n">
        <v>13530</v>
      </c>
    </row>
    <row r="46" customFormat="false" ht="15" hidden="false" customHeight="true" outlineLevel="0" collapsed="false">
      <c r="A46" s="8" t="n">
        <v>44</v>
      </c>
      <c r="B46" s="28" t="n">
        <v>45686</v>
      </c>
      <c r="C46" s="8" t="s">
        <v>1</v>
      </c>
      <c r="D46" s="5" t="n">
        <v>202.7</v>
      </c>
      <c r="E46" s="5" t="n">
        <v>206</v>
      </c>
      <c r="F46" s="5" t="n">
        <v>200.2</v>
      </c>
      <c r="G46" s="5" t="n">
        <v>206</v>
      </c>
      <c r="H46" s="5" t="n">
        <v>202.7</v>
      </c>
      <c r="I46" s="5" t="n">
        <v>205</v>
      </c>
      <c r="K46" s="29" t="n">
        <v>2.349</v>
      </c>
      <c r="L46" s="30" t="n">
        <v>11589</v>
      </c>
    </row>
    <row r="47" customFormat="false" ht="15" hidden="false" customHeight="true" outlineLevel="0" collapsed="false">
      <c r="A47" s="8" t="n">
        <v>45</v>
      </c>
      <c r="B47" s="28" t="n">
        <v>45685</v>
      </c>
      <c r="C47" s="8" t="s">
        <v>1</v>
      </c>
      <c r="D47" s="5" t="n">
        <v>205</v>
      </c>
      <c r="E47" s="5" t="n">
        <v>207.4</v>
      </c>
      <c r="F47" s="5" t="n">
        <v>203.3</v>
      </c>
      <c r="G47" s="5" t="n">
        <v>207</v>
      </c>
      <c r="H47" s="5" t="n">
        <v>205</v>
      </c>
      <c r="I47" s="5" t="n">
        <v>206</v>
      </c>
      <c r="K47" s="29" t="n">
        <v>6.174</v>
      </c>
      <c r="L47" s="30" t="n">
        <v>30116</v>
      </c>
    </row>
    <row r="48" customFormat="false" ht="15" hidden="false" customHeight="true" outlineLevel="0" collapsed="false">
      <c r="A48" s="8" t="n">
        <v>46</v>
      </c>
      <c r="B48" s="28" t="n">
        <v>45684</v>
      </c>
      <c r="C48" s="8" t="s">
        <v>1</v>
      </c>
      <c r="D48" s="5" t="n">
        <v>206</v>
      </c>
      <c r="E48" s="5" t="n">
        <v>208</v>
      </c>
      <c r="F48" s="5" t="n">
        <v>203.2</v>
      </c>
      <c r="G48" s="5" t="n">
        <v>206.9</v>
      </c>
      <c r="H48" s="5" t="n">
        <v>206</v>
      </c>
      <c r="I48" s="5" t="n">
        <v>204.6</v>
      </c>
      <c r="K48" s="29" t="n">
        <v>6.597</v>
      </c>
      <c r="L48" s="30" t="n">
        <v>32023</v>
      </c>
    </row>
    <row r="49" customFormat="false" ht="15" hidden="false" customHeight="true" outlineLevel="0" collapsed="false">
      <c r="A49" s="8" t="n">
        <v>47</v>
      </c>
      <c r="B49" s="28" t="n">
        <v>45683</v>
      </c>
      <c r="C49" s="8" t="s">
        <v>1</v>
      </c>
      <c r="D49" s="5" t="n">
        <v>204.6</v>
      </c>
      <c r="E49" s="5" t="n">
        <v>206.2</v>
      </c>
      <c r="F49" s="5" t="n">
        <v>203.5</v>
      </c>
      <c r="G49" s="5" t="n">
        <v>204.4</v>
      </c>
      <c r="H49" s="5" t="n">
        <v>204.6</v>
      </c>
      <c r="I49" s="5" t="n">
        <v>203.9</v>
      </c>
      <c r="K49" s="29" t="n">
        <v>7.069</v>
      </c>
      <c r="L49" s="30" t="n">
        <v>34550</v>
      </c>
    </row>
    <row r="50" customFormat="false" ht="15" hidden="false" customHeight="true" outlineLevel="0" collapsed="false">
      <c r="A50" s="8" t="n">
        <v>48</v>
      </c>
      <c r="B50" s="28" t="n">
        <v>45680</v>
      </c>
      <c r="C50" s="8" t="s">
        <v>1</v>
      </c>
      <c r="D50" s="5" t="n">
        <v>203.9</v>
      </c>
      <c r="E50" s="5" t="n">
        <v>204.8</v>
      </c>
      <c r="F50" s="5" t="n">
        <v>203.1</v>
      </c>
      <c r="G50" s="5" t="n">
        <v>204.6</v>
      </c>
      <c r="H50" s="5" t="n">
        <v>203.9</v>
      </c>
      <c r="I50" s="5" t="n">
        <v>203.5</v>
      </c>
      <c r="K50" s="29" t="n">
        <v>2.338</v>
      </c>
      <c r="L50" s="30" t="n">
        <v>11464</v>
      </c>
    </row>
    <row r="51" customFormat="false" ht="15" hidden="false" customHeight="true" outlineLevel="0" collapsed="false">
      <c r="A51" s="8" t="n">
        <v>49</v>
      </c>
      <c r="B51" s="28" t="n">
        <v>45679</v>
      </c>
      <c r="C51" s="8" t="s">
        <v>1</v>
      </c>
      <c r="D51" s="5" t="n">
        <v>203.5</v>
      </c>
      <c r="E51" s="5" t="n">
        <v>204.9</v>
      </c>
      <c r="F51" s="5" t="n">
        <v>200</v>
      </c>
      <c r="G51" s="5" t="n">
        <v>201</v>
      </c>
      <c r="H51" s="5" t="n">
        <v>203.5</v>
      </c>
      <c r="I51" s="5" t="n">
        <v>200.2</v>
      </c>
      <c r="K51" s="29" t="n">
        <v>5.274</v>
      </c>
      <c r="L51" s="30" t="n">
        <v>25915</v>
      </c>
    </row>
    <row r="52" customFormat="false" ht="15" hidden="false" customHeight="true" outlineLevel="0" collapsed="false">
      <c r="A52" s="8" t="n">
        <v>50</v>
      </c>
      <c r="B52" s="28" t="n">
        <v>45678</v>
      </c>
      <c r="C52" s="8" t="s">
        <v>1</v>
      </c>
      <c r="D52" s="5" t="n">
        <v>200.2</v>
      </c>
      <c r="E52" s="5" t="n">
        <v>205</v>
      </c>
      <c r="F52" s="5" t="n">
        <v>200</v>
      </c>
      <c r="G52" s="5" t="n">
        <v>202.2</v>
      </c>
      <c r="H52" s="5" t="n">
        <v>200.2</v>
      </c>
      <c r="I52" s="5" t="n">
        <v>202.1</v>
      </c>
      <c r="K52" s="29" t="n">
        <v>1.308</v>
      </c>
      <c r="L52" s="30" t="n">
        <v>6531</v>
      </c>
    </row>
    <row r="53" customFormat="false" ht="15" hidden="false" customHeight="true" outlineLevel="0" collapsed="false">
      <c r="A53" s="8" t="n">
        <v>51</v>
      </c>
      <c r="B53" s="28" t="n">
        <v>45677</v>
      </c>
      <c r="C53" s="8" t="s">
        <v>1</v>
      </c>
      <c r="D53" s="5" t="n">
        <v>202.1</v>
      </c>
      <c r="E53" s="5" t="n">
        <v>203</v>
      </c>
      <c r="F53" s="5" t="n">
        <v>193.5</v>
      </c>
      <c r="G53" s="5" t="n">
        <v>198</v>
      </c>
      <c r="H53" s="5" t="n">
        <v>202.1</v>
      </c>
      <c r="I53" s="5" t="n">
        <v>198.2</v>
      </c>
      <c r="K53" s="29" t="n">
        <v>3.247</v>
      </c>
      <c r="L53" s="30" t="n">
        <v>16068</v>
      </c>
    </row>
    <row r="54" customFormat="false" ht="15" hidden="false" customHeight="true" outlineLevel="0" collapsed="false">
      <c r="A54" s="8" t="n">
        <v>52</v>
      </c>
      <c r="B54" s="28" t="n">
        <v>45676</v>
      </c>
      <c r="C54" s="8" t="s">
        <v>1</v>
      </c>
      <c r="D54" s="5" t="n">
        <v>198.2</v>
      </c>
      <c r="E54" s="5" t="n">
        <v>199.5</v>
      </c>
      <c r="F54" s="5" t="n">
        <v>194.1</v>
      </c>
      <c r="G54" s="5" t="n">
        <v>195.1</v>
      </c>
      <c r="H54" s="5" t="n">
        <v>198.2</v>
      </c>
      <c r="I54" s="5" t="n">
        <v>194.7</v>
      </c>
      <c r="K54" s="29" t="n">
        <v>0.883</v>
      </c>
      <c r="L54" s="30" t="n">
        <v>4454</v>
      </c>
    </row>
    <row r="55" customFormat="false" ht="15" hidden="false" customHeight="true" outlineLevel="0" collapsed="false">
      <c r="A55" s="8" t="n">
        <v>53</v>
      </c>
      <c r="B55" s="28" t="n">
        <v>45673</v>
      </c>
      <c r="C55" s="8" t="s">
        <v>1</v>
      </c>
      <c r="D55" s="5" t="n">
        <v>194.7</v>
      </c>
      <c r="E55" s="5" t="n">
        <v>196.9</v>
      </c>
      <c r="F55" s="5" t="n">
        <v>194.1</v>
      </c>
      <c r="G55" s="5" t="n">
        <v>196.9</v>
      </c>
      <c r="H55" s="5" t="n">
        <v>194.7</v>
      </c>
      <c r="I55" s="5" t="n">
        <v>195.1</v>
      </c>
      <c r="K55" s="29" t="n">
        <v>1.238</v>
      </c>
      <c r="L55" s="30" t="n">
        <v>6356</v>
      </c>
    </row>
    <row r="56" customFormat="false" ht="15" hidden="false" customHeight="true" outlineLevel="0" collapsed="false">
      <c r="A56" s="8" t="n">
        <v>54</v>
      </c>
      <c r="B56" s="28" t="n">
        <v>45672</v>
      </c>
      <c r="C56" s="8" t="s">
        <v>1</v>
      </c>
      <c r="D56" s="5" t="n">
        <v>195.1</v>
      </c>
      <c r="E56" s="5" t="n">
        <v>197.7</v>
      </c>
      <c r="F56" s="5" t="n">
        <v>195</v>
      </c>
      <c r="G56" s="5" t="n">
        <v>197.5</v>
      </c>
      <c r="H56" s="5" t="n">
        <v>195.1</v>
      </c>
      <c r="I56" s="5" t="n">
        <v>197.7</v>
      </c>
      <c r="K56" s="29" t="n">
        <v>1.896</v>
      </c>
      <c r="L56" s="30" t="n">
        <v>9716</v>
      </c>
    </row>
    <row r="57" customFormat="false" ht="15" hidden="false" customHeight="true" outlineLevel="0" collapsed="false">
      <c r="A57" s="8" t="n">
        <v>55</v>
      </c>
      <c r="B57" s="28" t="n">
        <v>45671</v>
      </c>
      <c r="C57" s="8" t="s">
        <v>1</v>
      </c>
      <c r="D57" s="5" t="n">
        <v>197.7</v>
      </c>
      <c r="E57" s="5" t="n">
        <v>199.5</v>
      </c>
      <c r="F57" s="5" t="n">
        <v>197.4</v>
      </c>
      <c r="G57" s="5" t="n">
        <v>197.9</v>
      </c>
      <c r="H57" s="5" t="n">
        <v>197.7</v>
      </c>
      <c r="I57" s="5" t="n">
        <v>197.9</v>
      </c>
      <c r="K57" s="29" t="n">
        <v>0.822</v>
      </c>
      <c r="L57" s="30" t="n">
        <v>4156</v>
      </c>
    </row>
    <row r="58" customFormat="false" ht="15" hidden="false" customHeight="true" outlineLevel="0" collapsed="false">
      <c r="A58" s="8" t="n">
        <v>56</v>
      </c>
      <c r="B58" s="28" t="n">
        <v>45670</v>
      </c>
      <c r="C58" s="8" t="s">
        <v>1</v>
      </c>
      <c r="D58" s="5" t="n">
        <v>197.9</v>
      </c>
      <c r="E58" s="5" t="n">
        <v>198.7</v>
      </c>
      <c r="F58" s="5" t="n">
        <v>196.3</v>
      </c>
      <c r="G58" s="5" t="n">
        <v>197.3</v>
      </c>
      <c r="H58" s="5" t="n">
        <v>197.9</v>
      </c>
      <c r="I58" s="5" t="n">
        <v>196.9</v>
      </c>
      <c r="K58" s="29" t="n">
        <v>2.748</v>
      </c>
      <c r="L58" s="30" t="n">
        <v>13886</v>
      </c>
    </row>
    <row r="59" customFormat="false" ht="15" hidden="false" customHeight="true" outlineLevel="0" collapsed="false">
      <c r="A59" s="8" t="n">
        <v>57</v>
      </c>
      <c r="B59" s="28" t="n">
        <v>45669</v>
      </c>
      <c r="C59" s="8" t="s">
        <v>1</v>
      </c>
      <c r="D59" s="5" t="n">
        <v>196.9</v>
      </c>
      <c r="E59" s="5" t="n">
        <v>198.7</v>
      </c>
      <c r="F59" s="5" t="n">
        <v>196.6</v>
      </c>
      <c r="G59" s="5" t="n">
        <v>198.7</v>
      </c>
      <c r="H59" s="5" t="n">
        <v>196.9</v>
      </c>
      <c r="I59" s="5" t="n">
        <v>198.7</v>
      </c>
      <c r="K59" s="29" t="n">
        <v>1.116</v>
      </c>
      <c r="L59" s="30" t="n">
        <v>5667</v>
      </c>
    </row>
    <row r="60" customFormat="false" ht="15" hidden="false" customHeight="true" outlineLevel="0" collapsed="false">
      <c r="A60" s="8" t="n">
        <v>58</v>
      </c>
      <c r="B60" s="28" t="n">
        <v>45666</v>
      </c>
      <c r="C60" s="8" t="s">
        <v>1</v>
      </c>
      <c r="D60" s="5" t="n">
        <v>198.7</v>
      </c>
      <c r="E60" s="5" t="n">
        <v>199.8</v>
      </c>
      <c r="F60" s="5" t="n">
        <v>198.5</v>
      </c>
      <c r="G60" s="5" t="n">
        <v>198.6</v>
      </c>
      <c r="H60" s="5" t="n">
        <v>198.7</v>
      </c>
      <c r="I60" s="5" t="n">
        <v>198.8</v>
      </c>
      <c r="K60" s="29" t="n">
        <v>1.527</v>
      </c>
      <c r="L60" s="30" t="n">
        <v>7684</v>
      </c>
    </row>
    <row r="61" customFormat="false" ht="15" hidden="false" customHeight="true" outlineLevel="0" collapsed="false">
      <c r="A61" s="8" t="n">
        <v>59</v>
      </c>
      <c r="B61" s="28" t="n">
        <v>45665</v>
      </c>
      <c r="C61" s="8" t="s">
        <v>1</v>
      </c>
      <c r="D61" s="5" t="n">
        <v>198.8</v>
      </c>
      <c r="E61" s="5" t="n">
        <v>199.8</v>
      </c>
      <c r="F61" s="5" t="n">
        <v>198.5</v>
      </c>
      <c r="G61" s="5" t="n">
        <v>199.8</v>
      </c>
      <c r="H61" s="5" t="n">
        <v>198.8</v>
      </c>
      <c r="I61" s="5" t="n">
        <v>198.6</v>
      </c>
      <c r="K61" s="29" t="n">
        <v>1.491</v>
      </c>
      <c r="L61" s="30" t="n">
        <v>7501</v>
      </c>
    </row>
    <row r="62" customFormat="false" ht="15" hidden="false" customHeight="true" outlineLevel="0" collapsed="false">
      <c r="A62" s="8" t="n">
        <v>60</v>
      </c>
      <c r="B62" s="28" t="n">
        <v>45664</v>
      </c>
      <c r="C62" s="8" t="s">
        <v>1</v>
      </c>
      <c r="D62" s="5" t="n">
        <v>198.6</v>
      </c>
      <c r="E62" s="5" t="n">
        <v>200</v>
      </c>
      <c r="F62" s="5" t="n">
        <v>198.2</v>
      </c>
      <c r="G62" s="5" t="n">
        <v>199.8</v>
      </c>
      <c r="H62" s="5" t="n">
        <v>198.6</v>
      </c>
      <c r="I62" s="5" t="n">
        <v>198.1</v>
      </c>
      <c r="K62" s="29" t="n">
        <v>1.494</v>
      </c>
      <c r="L62" s="30" t="n">
        <v>7523</v>
      </c>
    </row>
    <row r="63" customFormat="false" ht="15" hidden="false" customHeight="true" outlineLevel="0" collapsed="false">
      <c r="A63" s="8" t="n">
        <v>61</v>
      </c>
      <c r="B63" s="28" t="n">
        <v>45663</v>
      </c>
      <c r="C63" s="8" t="s">
        <v>1</v>
      </c>
      <c r="D63" s="5" t="n">
        <v>198.1</v>
      </c>
      <c r="E63" s="5" t="n">
        <v>199.5</v>
      </c>
      <c r="F63" s="5" t="n">
        <v>197.8</v>
      </c>
      <c r="G63" s="5" t="n">
        <v>199.5</v>
      </c>
      <c r="H63" s="5" t="n">
        <v>198.1</v>
      </c>
      <c r="I63" s="5" t="n">
        <v>198.7</v>
      </c>
      <c r="K63" s="29" t="n">
        <v>2.243</v>
      </c>
      <c r="L63" s="30" t="n">
        <v>11323</v>
      </c>
    </row>
    <row r="64" customFormat="false" ht="15" hidden="false" customHeight="true" outlineLevel="0" collapsed="false">
      <c r="A64" s="8" t="n">
        <v>62</v>
      </c>
      <c r="B64" s="28" t="n">
        <v>45662</v>
      </c>
      <c r="C64" s="8" t="s">
        <v>1</v>
      </c>
      <c r="D64" s="5" t="n">
        <v>198.7</v>
      </c>
      <c r="E64" s="5" t="n">
        <v>199.6</v>
      </c>
      <c r="F64" s="5" t="n">
        <v>197.7</v>
      </c>
      <c r="G64" s="5" t="n">
        <v>198.2</v>
      </c>
      <c r="H64" s="5" t="n">
        <v>198.7</v>
      </c>
      <c r="I64" s="5" t="n">
        <v>197.1</v>
      </c>
      <c r="K64" s="29" t="n">
        <v>0.804</v>
      </c>
      <c r="L64" s="30" t="n">
        <v>4047</v>
      </c>
    </row>
    <row r="65" customFormat="false" ht="15" hidden="false" customHeight="true" outlineLevel="0" collapsed="false">
      <c r="A65" s="8" t="n">
        <v>63</v>
      </c>
      <c r="B65" s="28" t="n">
        <v>45659</v>
      </c>
      <c r="C65" s="8" t="s">
        <v>1</v>
      </c>
      <c r="D65" s="5" t="n">
        <v>197.1</v>
      </c>
      <c r="E65" s="5" t="n">
        <v>200</v>
      </c>
      <c r="F65" s="5" t="n">
        <v>195.1</v>
      </c>
      <c r="G65" s="5" t="n">
        <v>199.5</v>
      </c>
      <c r="H65" s="5" t="n">
        <v>197.1</v>
      </c>
      <c r="I65" s="5" t="n">
        <v>199.8</v>
      </c>
      <c r="K65" s="29" t="n">
        <v>2.63</v>
      </c>
      <c r="L65" s="30" t="n">
        <v>13341</v>
      </c>
    </row>
    <row r="66" customFormat="false" ht="15" hidden="false" customHeight="true" outlineLevel="0" collapsed="false">
      <c r="A66" s="8" t="n">
        <v>64</v>
      </c>
      <c r="B66" s="28" t="n">
        <v>45658</v>
      </c>
      <c r="C66" s="8" t="s">
        <v>1</v>
      </c>
      <c r="D66" s="5" t="n">
        <v>199.8</v>
      </c>
      <c r="E66" s="5" t="n">
        <v>202</v>
      </c>
      <c r="F66" s="5" t="n">
        <v>199.7</v>
      </c>
      <c r="G66" s="5" t="n">
        <v>202</v>
      </c>
      <c r="H66" s="5" t="n">
        <v>199.8</v>
      </c>
      <c r="I66" s="5" t="n">
        <v>199.9</v>
      </c>
      <c r="K66" s="29" t="n">
        <v>1.046</v>
      </c>
      <c r="L66" s="30" t="n">
        <v>5236</v>
      </c>
    </row>
    <row r="67" customFormat="false" ht="15" hidden="false" customHeight="true" outlineLevel="0" collapsed="false">
      <c r="A67" s="8" t="n">
        <v>65</v>
      </c>
      <c r="B67" s="28" t="n">
        <v>45656</v>
      </c>
      <c r="C67" s="8" t="s">
        <v>1</v>
      </c>
      <c r="D67" s="5" t="n">
        <v>199.9</v>
      </c>
      <c r="E67" s="5" t="n">
        <v>203.8</v>
      </c>
      <c r="F67" s="5" t="n">
        <v>199.5</v>
      </c>
      <c r="G67" s="5" t="n">
        <v>203.8</v>
      </c>
      <c r="H67" s="5" t="n">
        <v>199.9</v>
      </c>
      <c r="I67" s="5" t="n">
        <v>199.9</v>
      </c>
      <c r="K67" s="29" t="n">
        <v>0.764</v>
      </c>
      <c r="L67" s="30" t="n">
        <v>3820</v>
      </c>
    </row>
    <row r="68" customFormat="false" ht="15" hidden="false" customHeight="true" outlineLevel="0" collapsed="false">
      <c r="A68" s="8" t="n">
        <v>66</v>
      </c>
      <c r="B68" s="28" t="n">
        <v>45655</v>
      </c>
      <c r="C68" s="8" t="s">
        <v>1</v>
      </c>
      <c r="D68" s="5" t="n">
        <v>199.9</v>
      </c>
      <c r="E68" s="5" t="n">
        <v>202.8</v>
      </c>
      <c r="F68" s="5" t="n">
        <v>199.2</v>
      </c>
      <c r="G68" s="5" t="n">
        <v>199.8</v>
      </c>
      <c r="H68" s="5" t="n">
        <v>199.9</v>
      </c>
      <c r="I68" s="5" t="n">
        <v>199.6</v>
      </c>
      <c r="K68" s="29" t="n">
        <v>5.378</v>
      </c>
      <c r="L68" s="30" t="n">
        <v>26901</v>
      </c>
    </row>
    <row r="69" customFormat="false" ht="15" hidden="false" customHeight="true" outlineLevel="0" collapsed="false">
      <c r="A69" s="8" t="n">
        <v>67</v>
      </c>
      <c r="B69" s="28" t="n">
        <v>45652</v>
      </c>
      <c r="C69" s="8" t="s">
        <v>1</v>
      </c>
      <c r="D69" s="5" t="n">
        <v>199.6</v>
      </c>
      <c r="E69" s="5" t="n">
        <v>201</v>
      </c>
      <c r="F69" s="5" t="n">
        <v>198.5</v>
      </c>
      <c r="G69" s="5" t="n">
        <v>201</v>
      </c>
      <c r="H69" s="5" t="n">
        <v>199.6</v>
      </c>
      <c r="I69" s="5" t="n">
        <v>199.1</v>
      </c>
      <c r="K69" s="29" t="n">
        <v>1.655</v>
      </c>
      <c r="L69" s="30" t="n">
        <v>8290</v>
      </c>
    </row>
    <row r="70" customFormat="false" ht="15" hidden="false" customHeight="true" outlineLevel="0" collapsed="false">
      <c r="A70" s="8" t="n">
        <v>68</v>
      </c>
      <c r="B70" s="28" t="n">
        <v>45650</v>
      </c>
      <c r="C70" s="8" t="s">
        <v>1</v>
      </c>
      <c r="D70" s="5" t="n">
        <v>199.1</v>
      </c>
      <c r="E70" s="5" t="n">
        <v>202</v>
      </c>
      <c r="F70" s="5" t="n">
        <v>199</v>
      </c>
      <c r="G70" s="5" t="n">
        <v>199.5</v>
      </c>
      <c r="H70" s="5" t="n">
        <v>199.1</v>
      </c>
      <c r="I70" s="5" t="n">
        <v>198.7</v>
      </c>
      <c r="K70" s="29" t="n">
        <v>0.924</v>
      </c>
      <c r="L70" s="30" t="n">
        <v>4640</v>
      </c>
    </row>
    <row r="71" customFormat="false" ht="15" hidden="false" customHeight="true" outlineLevel="0" collapsed="false">
      <c r="A71" s="8" t="n">
        <v>69</v>
      </c>
      <c r="B71" s="28" t="n">
        <v>45649</v>
      </c>
      <c r="C71" s="8" t="s">
        <v>1</v>
      </c>
      <c r="D71" s="5" t="n">
        <v>198.7</v>
      </c>
      <c r="E71" s="5" t="n">
        <v>200</v>
      </c>
      <c r="F71" s="5" t="n">
        <v>198.2</v>
      </c>
      <c r="G71" s="5" t="n">
        <v>200</v>
      </c>
      <c r="H71" s="5" t="n">
        <v>198.7</v>
      </c>
      <c r="I71" s="5" t="n">
        <v>199.6</v>
      </c>
      <c r="K71" s="29" t="n">
        <v>1.981</v>
      </c>
      <c r="L71" s="30" t="n">
        <v>9971</v>
      </c>
    </row>
    <row r="72" customFormat="false" ht="15" hidden="false" customHeight="true" outlineLevel="0" collapsed="false">
      <c r="A72" s="8" t="n">
        <v>70</v>
      </c>
      <c r="B72" s="28" t="n">
        <v>45648</v>
      </c>
      <c r="C72" s="8" t="s">
        <v>1</v>
      </c>
      <c r="D72" s="5" t="n">
        <v>199.6</v>
      </c>
      <c r="E72" s="5" t="n">
        <v>203.5</v>
      </c>
      <c r="F72" s="5" t="n">
        <v>198.7</v>
      </c>
      <c r="G72" s="5" t="n">
        <v>201</v>
      </c>
      <c r="H72" s="5" t="n">
        <v>199.6</v>
      </c>
      <c r="I72" s="5" t="n">
        <v>200.6</v>
      </c>
      <c r="K72" s="29" t="n">
        <v>1.557</v>
      </c>
      <c r="L72" s="30" t="n">
        <v>7801</v>
      </c>
    </row>
    <row r="73" customFormat="false" ht="15" hidden="false" customHeight="true" outlineLevel="0" collapsed="false">
      <c r="A73" s="8" t="n">
        <v>71</v>
      </c>
      <c r="B73" s="28" t="n">
        <v>45645</v>
      </c>
      <c r="C73" s="8" t="s">
        <v>1</v>
      </c>
      <c r="D73" s="5" t="n">
        <v>200.6</v>
      </c>
      <c r="E73" s="5" t="n">
        <v>202.5</v>
      </c>
      <c r="F73" s="5" t="n">
        <v>200.3</v>
      </c>
      <c r="G73" s="5" t="n">
        <v>201.8</v>
      </c>
      <c r="H73" s="5" t="n">
        <v>200.6</v>
      </c>
      <c r="I73" s="5" t="n">
        <v>201.5</v>
      </c>
      <c r="K73" s="29" t="n">
        <v>3.802</v>
      </c>
      <c r="L73" s="30" t="n">
        <v>18951</v>
      </c>
    </row>
    <row r="74" customFormat="false" ht="15" hidden="false" customHeight="true" outlineLevel="0" collapsed="false">
      <c r="A74" s="8" t="n">
        <v>72</v>
      </c>
      <c r="B74" s="28" t="n">
        <v>45644</v>
      </c>
      <c r="C74" s="8" t="s">
        <v>1</v>
      </c>
      <c r="D74" s="5" t="n">
        <v>201.5</v>
      </c>
      <c r="E74" s="5" t="n">
        <v>203.8</v>
      </c>
      <c r="F74" s="5" t="n">
        <v>201</v>
      </c>
      <c r="G74" s="5" t="n">
        <v>202</v>
      </c>
      <c r="H74" s="5" t="n">
        <v>201.5</v>
      </c>
      <c r="I74" s="5" t="n">
        <v>202.5</v>
      </c>
      <c r="K74" s="29" t="n">
        <v>3.259</v>
      </c>
      <c r="L74" s="30" t="n">
        <v>16175</v>
      </c>
    </row>
    <row r="75" customFormat="false" ht="15" hidden="false" customHeight="true" outlineLevel="0" collapsed="false">
      <c r="A75" s="8" t="n">
        <v>73</v>
      </c>
      <c r="B75" s="28" t="n">
        <v>45643</v>
      </c>
      <c r="C75" s="8" t="s">
        <v>1</v>
      </c>
      <c r="D75" s="5" t="n">
        <v>202.5</v>
      </c>
      <c r="E75" s="5" t="n">
        <v>204.6</v>
      </c>
      <c r="F75" s="5" t="n">
        <v>200</v>
      </c>
      <c r="G75" s="5" t="n">
        <v>200</v>
      </c>
      <c r="H75" s="5" t="n">
        <v>202.5</v>
      </c>
      <c r="I75" s="5" t="n">
        <v>199.9</v>
      </c>
      <c r="K75" s="29" t="n">
        <v>4.314</v>
      </c>
      <c r="L75" s="30" t="n">
        <v>21304</v>
      </c>
    </row>
    <row r="76" customFormat="false" ht="15" hidden="false" customHeight="true" outlineLevel="0" collapsed="false">
      <c r="A76" s="8" t="n">
        <v>74</v>
      </c>
      <c r="B76" s="28" t="n">
        <v>45641</v>
      </c>
      <c r="C76" s="8" t="s">
        <v>1</v>
      </c>
      <c r="D76" s="5" t="n">
        <v>199.9</v>
      </c>
      <c r="E76" s="5" t="n">
        <v>201.2</v>
      </c>
      <c r="F76" s="5" t="n">
        <v>196</v>
      </c>
      <c r="G76" s="5" t="n">
        <v>201.2</v>
      </c>
      <c r="H76" s="5" t="n">
        <v>199.9</v>
      </c>
      <c r="I76" s="5" t="n">
        <v>199.8</v>
      </c>
      <c r="K76" s="29" t="n">
        <v>4.241</v>
      </c>
      <c r="L76" s="30" t="n">
        <v>21214</v>
      </c>
    </row>
    <row r="77" customFormat="false" ht="15" hidden="false" customHeight="true" outlineLevel="0" collapsed="false">
      <c r="A77" s="8" t="n">
        <v>75</v>
      </c>
      <c r="B77" s="28" t="n">
        <v>45638</v>
      </c>
      <c r="C77" s="8" t="s">
        <v>1</v>
      </c>
      <c r="D77" s="5" t="n">
        <v>199.8</v>
      </c>
      <c r="E77" s="5" t="n">
        <v>201.9</v>
      </c>
      <c r="F77" s="5" t="n">
        <v>199.4</v>
      </c>
      <c r="G77" s="5" t="n">
        <v>200.2</v>
      </c>
      <c r="H77" s="5" t="n">
        <v>199.8</v>
      </c>
      <c r="I77" s="5" t="n">
        <v>201.2</v>
      </c>
      <c r="K77" s="29" t="n">
        <v>0.999</v>
      </c>
      <c r="L77" s="30" t="n">
        <v>5001</v>
      </c>
    </row>
    <row r="78" customFormat="false" ht="15" hidden="false" customHeight="true" outlineLevel="0" collapsed="false">
      <c r="A78" s="8" t="n">
        <v>76</v>
      </c>
      <c r="B78" s="28" t="n">
        <v>45637</v>
      </c>
      <c r="C78" s="8" t="s">
        <v>1</v>
      </c>
      <c r="D78" s="5" t="n">
        <v>201.2</v>
      </c>
      <c r="E78" s="5" t="n">
        <v>202.9</v>
      </c>
      <c r="F78" s="5" t="n">
        <v>200</v>
      </c>
      <c r="G78" s="5" t="n">
        <v>201</v>
      </c>
      <c r="H78" s="5" t="n">
        <v>201.2</v>
      </c>
      <c r="I78" s="5" t="n">
        <v>200.8</v>
      </c>
      <c r="K78" s="29" t="n">
        <v>1.14</v>
      </c>
      <c r="L78" s="30" t="n">
        <v>5667</v>
      </c>
    </row>
    <row r="79" customFormat="false" ht="15" hidden="false" customHeight="true" outlineLevel="0" collapsed="false">
      <c r="A79" s="8" t="n">
        <v>77</v>
      </c>
      <c r="B79" s="28" t="n">
        <v>45636</v>
      </c>
      <c r="C79" s="8" t="s">
        <v>1</v>
      </c>
      <c r="D79" s="5" t="n">
        <v>200.8</v>
      </c>
      <c r="E79" s="5" t="n">
        <v>203.8</v>
      </c>
      <c r="F79" s="5" t="n">
        <v>200</v>
      </c>
      <c r="G79" s="5" t="n">
        <v>202</v>
      </c>
      <c r="H79" s="5" t="n">
        <v>200.8</v>
      </c>
      <c r="I79" s="5" t="n">
        <v>200.9</v>
      </c>
      <c r="K79" s="29" t="n">
        <v>2.571</v>
      </c>
      <c r="L79" s="30" t="n">
        <v>12805</v>
      </c>
    </row>
    <row r="80" customFormat="false" ht="15" hidden="false" customHeight="true" outlineLevel="0" collapsed="false">
      <c r="A80" s="8" t="n">
        <v>78</v>
      </c>
      <c r="B80" s="28" t="n">
        <v>45635</v>
      </c>
      <c r="C80" s="8" t="s">
        <v>1</v>
      </c>
      <c r="D80" s="5" t="n">
        <v>200.9</v>
      </c>
      <c r="E80" s="5" t="n">
        <v>203.9</v>
      </c>
      <c r="F80" s="5" t="n">
        <v>200.2</v>
      </c>
      <c r="G80" s="5" t="n">
        <v>202.2</v>
      </c>
      <c r="H80" s="5" t="n">
        <v>200.9</v>
      </c>
      <c r="I80" s="5" t="n">
        <v>202.1</v>
      </c>
      <c r="K80" s="29" t="n">
        <v>2.509</v>
      </c>
      <c r="L80" s="30" t="n">
        <v>12491</v>
      </c>
    </row>
    <row r="81" customFormat="false" ht="15" hidden="false" customHeight="true" outlineLevel="0" collapsed="false">
      <c r="A81" s="8" t="n">
        <v>79</v>
      </c>
      <c r="B81" s="28" t="n">
        <v>45634</v>
      </c>
      <c r="C81" s="8" t="s">
        <v>1</v>
      </c>
      <c r="D81" s="5" t="n">
        <v>202.1</v>
      </c>
      <c r="E81" s="5" t="n">
        <v>206.9</v>
      </c>
      <c r="F81" s="5" t="n">
        <v>201.3</v>
      </c>
      <c r="G81" s="5" t="n">
        <v>206.9</v>
      </c>
      <c r="H81" s="5" t="n">
        <v>202.1</v>
      </c>
      <c r="I81" s="5" t="n">
        <v>203.1</v>
      </c>
      <c r="K81" s="29" t="n">
        <v>1.754</v>
      </c>
      <c r="L81" s="30" t="n">
        <v>8677</v>
      </c>
    </row>
    <row r="82" customFormat="false" ht="15" hidden="false" customHeight="true" outlineLevel="0" collapsed="false">
      <c r="A82" s="8" t="n">
        <v>80</v>
      </c>
      <c r="B82" s="28" t="n">
        <v>45631</v>
      </c>
      <c r="C82" s="8" t="s">
        <v>1</v>
      </c>
      <c r="D82" s="5" t="n">
        <v>203.1</v>
      </c>
      <c r="E82" s="5" t="n">
        <v>204.8</v>
      </c>
      <c r="F82" s="5" t="n">
        <v>202.9</v>
      </c>
      <c r="G82" s="5" t="n">
        <v>204</v>
      </c>
      <c r="H82" s="5" t="n">
        <v>203.1</v>
      </c>
      <c r="I82" s="5" t="n">
        <v>204.1</v>
      </c>
      <c r="K82" s="29" t="n">
        <v>1.293</v>
      </c>
      <c r="L82" s="30" t="n">
        <v>6366</v>
      </c>
    </row>
    <row r="83" customFormat="false" ht="15" hidden="false" customHeight="true" outlineLevel="0" collapsed="false">
      <c r="A83" s="8" t="n">
        <v>81</v>
      </c>
      <c r="B83" s="28" t="n">
        <v>45630</v>
      </c>
      <c r="C83" s="8" t="s">
        <v>1</v>
      </c>
      <c r="D83" s="5" t="n">
        <v>204.1</v>
      </c>
      <c r="E83" s="5" t="n">
        <v>205.8</v>
      </c>
      <c r="F83" s="5" t="n">
        <v>202.7</v>
      </c>
      <c r="G83" s="5" t="n">
        <v>202.7</v>
      </c>
      <c r="H83" s="5" t="n">
        <v>204.1</v>
      </c>
      <c r="I83" s="5" t="n">
        <v>202.8</v>
      </c>
      <c r="K83" s="29" t="n">
        <v>3.522</v>
      </c>
      <c r="L83" s="30" t="n">
        <v>17258</v>
      </c>
    </row>
    <row r="84" customFormat="false" ht="15" hidden="false" customHeight="true" outlineLevel="0" collapsed="false">
      <c r="A84" s="8" t="n">
        <v>82</v>
      </c>
      <c r="B84" s="28" t="n">
        <v>45629</v>
      </c>
      <c r="C84" s="8" t="s">
        <v>1</v>
      </c>
      <c r="D84" s="5" t="n">
        <v>202.8</v>
      </c>
      <c r="E84" s="5" t="n">
        <v>204.1</v>
      </c>
      <c r="F84" s="5" t="n">
        <v>202.4</v>
      </c>
      <c r="G84" s="5" t="n">
        <v>204</v>
      </c>
      <c r="H84" s="5" t="n">
        <v>202.8</v>
      </c>
      <c r="I84" s="5" t="n">
        <v>202.4</v>
      </c>
      <c r="K84" s="29" t="n">
        <v>2.947</v>
      </c>
      <c r="L84" s="30" t="n">
        <v>14532</v>
      </c>
    </row>
    <row r="85" customFormat="false" ht="15" hidden="false" customHeight="true" outlineLevel="0" collapsed="false">
      <c r="A85" s="8" t="n">
        <v>83</v>
      </c>
      <c r="B85" s="28" t="n">
        <v>45628</v>
      </c>
      <c r="C85" s="8" t="s">
        <v>1</v>
      </c>
      <c r="D85" s="5" t="n">
        <v>202.4</v>
      </c>
      <c r="E85" s="5" t="n">
        <v>205</v>
      </c>
      <c r="F85" s="5" t="n">
        <v>200.2</v>
      </c>
      <c r="G85" s="5" t="n">
        <v>201.8</v>
      </c>
      <c r="H85" s="5" t="n">
        <v>202.4</v>
      </c>
      <c r="I85" s="5" t="n">
        <v>202.1</v>
      </c>
      <c r="K85" s="29" t="n">
        <v>3.096</v>
      </c>
      <c r="L85" s="30" t="n">
        <v>15295</v>
      </c>
    </row>
    <row r="86" customFormat="false" ht="15" hidden="false" customHeight="true" outlineLevel="0" collapsed="false">
      <c r="A86" s="8" t="n">
        <v>84</v>
      </c>
      <c r="B86" s="28" t="n">
        <v>45627</v>
      </c>
      <c r="C86" s="8" t="s">
        <v>1</v>
      </c>
      <c r="D86" s="5" t="n">
        <v>202.1</v>
      </c>
      <c r="E86" s="5" t="n">
        <v>204</v>
      </c>
      <c r="F86" s="5" t="n">
        <v>201.5</v>
      </c>
      <c r="G86" s="5" t="n">
        <v>203</v>
      </c>
      <c r="H86" s="5" t="n">
        <v>202.1</v>
      </c>
      <c r="I86" s="5" t="n">
        <v>203.5</v>
      </c>
      <c r="K86" s="29" t="n">
        <v>1.733</v>
      </c>
      <c r="L86" s="30" t="n">
        <v>8577</v>
      </c>
    </row>
    <row r="87" customFormat="false" ht="15" hidden="false" customHeight="true" outlineLevel="0" collapsed="false">
      <c r="A87" s="8" t="n">
        <v>85</v>
      </c>
      <c r="B87" s="28" t="n">
        <v>45624</v>
      </c>
      <c r="C87" s="8" t="s">
        <v>1</v>
      </c>
      <c r="D87" s="5" t="n">
        <v>203.5</v>
      </c>
      <c r="E87" s="5" t="n">
        <v>207</v>
      </c>
      <c r="F87" s="5" t="n">
        <v>203.1</v>
      </c>
      <c r="G87" s="5" t="n">
        <v>204.1</v>
      </c>
      <c r="H87" s="5" t="n">
        <v>203.5</v>
      </c>
      <c r="I87" s="5" t="n">
        <v>204</v>
      </c>
      <c r="K87" s="29" t="n">
        <v>4.108</v>
      </c>
      <c r="L87" s="30" t="n">
        <v>20185</v>
      </c>
    </row>
    <row r="88" customFormat="false" ht="15" hidden="false" customHeight="true" outlineLevel="0" collapsed="false">
      <c r="A88" s="8" t="n">
        <v>86</v>
      </c>
      <c r="B88" s="28" t="n">
        <v>45623</v>
      </c>
      <c r="C88" s="8" t="s">
        <v>1</v>
      </c>
      <c r="D88" s="5" t="n">
        <v>204</v>
      </c>
      <c r="E88" s="5" t="n">
        <v>204.7</v>
      </c>
      <c r="F88" s="5" t="n">
        <v>202.2</v>
      </c>
      <c r="G88" s="5" t="n">
        <v>204</v>
      </c>
      <c r="H88" s="5" t="n">
        <v>204</v>
      </c>
      <c r="I88" s="5" t="n">
        <v>201.2</v>
      </c>
      <c r="K88" s="29" t="n">
        <v>3.547</v>
      </c>
      <c r="L88" s="30" t="n">
        <v>17388</v>
      </c>
    </row>
    <row r="89" customFormat="false" ht="15" hidden="false" customHeight="true" outlineLevel="0" collapsed="false">
      <c r="A89" s="8" t="n">
        <v>87</v>
      </c>
      <c r="B89" s="28" t="n">
        <v>45622</v>
      </c>
      <c r="C89" s="8" t="s">
        <v>1</v>
      </c>
      <c r="D89" s="5" t="n">
        <v>201.2</v>
      </c>
      <c r="E89" s="5" t="n">
        <v>203.7</v>
      </c>
      <c r="F89" s="5" t="n">
        <v>200.7</v>
      </c>
      <c r="G89" s="5" t="n">
        <v>203.7</v>
      </c>
      <c r="H89" s="5" t="n">
        <v>201.2</v>
      </c>
      <c r="I89" s="5" t="n">
        <v>201.3</v>
      </c>
      <c r="K89" s="29" t="n">
        <v>3.295</v>
      </c>
      <c r="L89" s="30" t="n">
        <v>16377</v>
      </c>
    </row>
    <row r="90" customFormat="false" ht="15" hidden="false" customHeight="true" outlineLevel="0" collapsed="false">
      <c r="A90" s="8" t="n">
        <v>88</v>
      </c>
      <c r="B90" s="28" t="n">
        <v>45621</v>
      </c>
      <c r="C90" s="8" t="s">
        <v>1</v>
      </c>
      <c r="D90" s="5" t="n">
        <v>201.3</v>
      </c>
      <c r="E90" s="5" t="n">
        <v>204.3</v>
      </c>
      <c r="F90" s="5" t="n">
        <v>200</v>
      </c>
      <c r="G90" s="5" t="n">
        <v>204.3</v>
      </c>
      <c r="H90" s="5" t="n">
        <v>201.3</v>
      </c>
      <c r="I90" s="5" t="n">
        <v>201.2</v>
      </c>
      <c r="K90" s="29" t="n">
        <v>2.275</v>
      </c>
      <c r="L90" s="30" t="n">
        <v>11301</v>
      </c>
    </row>
    <row r="91" customFormat="false" ht="15" hidden="false" customHeight="true" outlineLevel="0" collapsed="false">
      <c r="A91" s="8" t="n">
        <v>89</v>
      </c>
      <c r="B91" s="28" t="n">
        <v>45620</v>
      </c>
      <c r="C91" s="8" t="s">
        <v>1</v>
      </c>
      <c r="D91" s="5" t="n">
        <v>201.2</v>
      </c>
      <c r="E91" s="5" t="n">
        <v>204</v>
      </c>
      <c r="F91" s="5" t="n">
        <v>200.8</v>
      </c>
      <c r="G91" s="5" t="n">
        <v>204</v>
      </c>
      <c r="H91" s="5" t="n">
        <v>201.2</v>
      </c>
      <c r="I91" s="5" t="n">
        <v>202.7</v>
      </c>
      <c r="K91" s="29" t="n">
        <v>4.445</v>
      </c>
      <c r="L91" s="30" t="n">
        <v>22091</v>
      </c>
    </row>
    <row r="92" customFormat="false" ht="15" hidden="false" customHeight="true" outlineLevel="0" collapsed="false">
      <c r="A92" s="8" t="n">
        <v>90</v>
      </c>
      <c r="B92" s="28" t="n">
        <v>45617</v>
      </c>
      <c r="C92" s="8" t="s">
        <v>1</v>
      </c>
      <c r="D92" s="5" t="n">
        <v>202.7</v>
      </c>
      <c r="E92" s="5" t="n">
        <v>205.7</v>
      </c>
      <c r="F92" s="5" t="n">
        <v>202</v>
      </c>
      <c r="G92" s="5" t="n">
        <v>205.7</v>
      </c>
      <c r="H92" s="5" t="n">
        <v>202.7</v>
      </c>
      <c r="I92" s="5" t="n">
        <v>204</v>
      </c>
      <c r="K92" s="29" t="n">
        <v>4.681</v>
      </c>
      <c r="L92" s="30" t="n">
        <v>23094</v>
      </c>
    </row>
    <row r="93" customFormat="false" ht="15" hidden="false" customHeight="true" outlineLevel="0" collapsed="false">
      <c r="A93" s="8" t="n">
        <v>91</v>
      </c>
      <c r="B93" s="28" t="n">
        <v>45616</v>
      </c>
      <c r="C93" s="8" t="s">
        <v>1</v>
      </c>
      <c r="D93" s="5" t="n">
        <v>204</v>
      </c>
      <c r="E93" s="5" t="n">
        <v>206.7</v>
      </c>
      <c r="F93" s="5" t="n">
        <v>203.3</v>
      </c>
      <c r="G93" s="5" t="n">
        <v>206.4</v>
      </c>
      <c r="H93" s="5" t="n">
        <v>204</v>
      </c>
      <c r="I93" s="5" t="n">
        <v>204.8</v>
      </c>
      <c r="K93" s="29" t="n">
        <v>2.881</v>
      </c>
      <c r="L93" s="30" t="n">
        <v>14121</v>
      </c>
    </row>
    <row r="94" customFormat="false" ht="15" hidden="false" customHeight="true" outlineLevel="0" collapsed="false">
      <c r="A94" s="8" t="n">
        <v>92</v>
      </c>
      <c r="B94" s="28" t="n">
        <v>45615</v>
      </c>
      <c r="C94" s="8" t="s">
        <v>1</v>
      </c>
      <c r="D94" s="5" t="n">
        <v>204.8</v>
      </c>
      <c r="E94" s="5" t="n">
        <v>206.9</v>
      </c>
      <c r="F94" s="5" t="n">
        <v>204.2</v>
      </c>
      <c r="G94" s="5" t="n">
        <v>205.9</v>
      </c>
      <c r="H94" s="5" t="n">
        <v>204.8</v>
      </c>
      <c r="I94" s="5" t="n">
        <v>205.4</v>
      </c>
      <c r="K94" s="29" t="n">
        <v>6.52</v>
      </c>
      <c r="L94" s="30" t="n">
        <v>31838</v>
      </c>
    </row>
    <row r="95" customFormat="false" ht="15" hidden="false" customHeight="true" outlineLevel="0" collapsed="false">
      <c r="A95" s="8" t="n">
        <v>93</v>
      </c>
      <c r="B95" s="28" t="n">
        <v>45614</v>
      </c>
      <c r="C95" s="8" t="s">
        <v>1</v>
      </c>
      <c r="D95" s="5" t="n">
        <v>205.4</v>
      </c>
      <c r="E95" s="5" t="n">
        <v>207.8</v>
      </c>
      <c r="F95" s="5" t="n">
        <v>204.3</v>
      </c>
      <c r="G95" s="5" t="n">
        <v>204.3</v>
      </c>
      <c r="H95" s="5" t="n">
        <v>205.4</v>
      </c>
      <c r="I95" s="5" t="n">
        <v>204.1</v>
      </c>
      <c r="K95" s="29" t="n">
        <v>6.292</v>
      </c>
      <c r="L95" s="30" t="n">
        <v>30635</v>
      </c>
    </row>
    <row r="96" customFormat="false" ht="15" hidden="false" customHeight="true" outlineLevel="0" collapsed="false">
      <c r="A96" s="8" t="n">
        <v>94</v>
      </c>
      <c r="B96" s="28" t="n">
        <v>45613</v>
      </c>
      <c r="C96" s="8" t="s">
        <v>1</v>
      </c>
      <c r="D96" s="5" t="n">
        <v>204.1</v>
      </c>
      <c r="E96" s="5" t="n">
        <v>207.1</v>
      </c>
      <c r="F96" s="5" t="n">
        <v>203.1</v>
      </c>
      <c r="G96" s="5" t="n">
        <v>204.5</v>
      </c>
      <c r="H96" s="5" t="n">
        <v>204.1</v>
      </c>
      <c r="I96" s="5" t="n">
        <v>204.1</v>
      </c>
      <c r="K96" s="29" t="n">
        <v>5.383</v>
      </c>
      <c r="L96" s="30" t="n">
        <v>26372</v>
      </c>
    </row>
    <row r="97" customFormat="false" ht="15" hidden="false" customHeight="true" outlineLevel="0" collapsed="false">
      <c r="A97" s="8" t="n">
        <v>95</v>
      </c>
      <c r="B97" s="28" t="n">
        <v>45610</v>
      </c>
      <c r="C97" s="8" t="s">
        <v>1</v>
      </c>
      <c r="D97" s="5" t="n">
        <v>204.1</v>
      </c>
      <c r="E97" s="5" t="n">
        <v>208.8</v>
      </c>
      <c r="F97" s="5" t="n">
        <v>203</v>
      </c>
      <c r="G97" s="5" t="n">
        <v>207</v>
      </c>
      <c r="H97" s="5" t="n">
        <v>204.1</v>
      </c>
      <c r="I97" s="5" t="n">
        <v>202.2</v>
      </c>
      <c r="K97" s="29" t="n">
        <v>7.113</v>
      </c>
      <c r="L97" s="30" t="n">
        <v>34849</v>
      </c>
    </row>
    <row r="98" customFormat="false" ht="15" hidden="false" customHeight="true" outlineLevel="0" collapsed="false">
      <c r="A98" s="8" t="n">
        <v>96</v>
      </c>
      <c r="B98" s="28" t="n">
        <v>45609</v>
      </c>
      <c r="C98" s="8" t="s">
        <v>1</v>
      </c>
      <c r="D98" s="5" t="n">
        <v>202.2</v>
      </c>
      <c r="E98" s="5" t="n">
        <v>208.9</v>
      </c>
      <c r="F98" s="5" t="n">
        <v>201.2</v>
      </c>
      <c r="G98" s="5" t="n">
        <v>207</v>
      </c>
      <c r="H98" s="5" t="n">
        <v>202.2</v>
      </c>
      <c r="I98" s="5" t="n">
        <v>204.7</v>
      </c>
      <c r="K98" s="29" t="n">
        <v>6.746</v>
      </c>
      <c r="L98" s="30" t="n">
        <v>33363</v>
      </c>
    </row>
    <row r="99" customFormat="false" ht="15" hidden="false" customHeight="true" outlineLevel="0" collapsed="false">
      <c r="A99" s="8" t="n">
        <v>97</v>
      </c>
      <c r="B99" s="28" t="n">
        <v>45608</v>
      </c>
      <c r="C99" s="8" t="s">
        <v>1</v>
      </c>
      <c r="D99" s="5" t="n">
        <v>204.7</v>
      </c>
      <c r="E99" s="5" t="n">
        <v>220.7</v>
      </c>
      <c r="F99" s="5" t="n">
        <v>203.4</v>
      </c>
      <c r="G99" s="5" t="n">
        <v>220.7</v>
      </c>
      <c r="H99" s="5" t="n">
        <v>204.7</v>
      </c>
      <c r="I99" s="5" t="n">
        <v>203</v>
      </c>
      <c r="K99" s="29" t="n">
        <v>3.753</v>
      </c>
      <c r="L99" s="30" t="n">
        <v>18335</v>
      </c>
    </row>
    <row r="100" customFormat="false" ht="15" hidden="false" customHeight="true" outlineLevel="0" collapsed="false">
      <c r="A100" s="8" t="n">
        <v>98</v>
      </c>
      <c r="B100" s="28" t="n">
        <v>45607</v>
      </c>
      <c r="C100" s="8" t="s">
        <v>1</v>
      </c>
      <c r="D100" s="5" t="n">
        <v>203</v>
      </c>
      <c r="E100" s="5" t="n">
        <v>204.9</v>
      </c>
      <c r="F100" s="5" t="n">
        <v>201</v>
      </c>
      <c r="G100" s="5" t="n">
        <v>201</v>
      </c>
      <c r="H100" s="5" t="n">
        <v>203</v>
      </c>
      <c r="I100" s="5" t="n">
        <v>201</v>
      </c>
      <c r="K100" s="29" t="n">
        <v>5.487</v>
      </c>
      <c r="L100" s="30" t="n">
        <v>27029</v>
      </c>
    </row>
    <row r="101" customFormat="false" ht="15" hidden="false" customHeight="true" outlineLevel="0" collapsed="false">
      <c r="A101" s="8" t="n">
        <v>99</v>
      </c>
      <c r="B101" s="28" t="n">
        <v>45606</v>
      </c>
      <c r="C101" s="8" t="s">
        <v>1</v>
      </c>
      <c r="D101" s="5" t="n">
        <v>201</v>
      </c>
      <c r="E101" s="5" t="n">
        <v>205</v>
      </c>
      <c r="F101" s="5" t="n">
        <v>200</v>
      </c>
      <c r="G101" s="5" t="n">
        <v>202</v>
      </c>
      <c r="H101" s="5" t="n">
        <v>201</v>
      </c>
      <c r="I101" s="5" t="n">
        <v>202.2</v>
      </c>
      <c r="K101" s="29" t="n">
        <v>2.178</v>
      </c>
      <c r="L101" s="30" t="n">
        <v>10835</v>
      </c>
    </row>
    <row r="102" customFormat="false" ht="15" hidden="false" customHeight="true" outlineLevel="0" collapsed="false">
      <c r="A102" s="8" t="n">
        <v>100</v>
      </c>
      <c r="B102" s="28" t="n">
        <v>45603</v>
      </c>
      <c r="C102" s="8" t="s">
        <v>1</v>
      </c>
      <c r="D102" s="5" t="n">
        <v>202.2</v>
      </c>
      <c r="E102" s="5" t="n">
        <v>207.3</v>
      </c>
      <c r="F102" s="5" t="n">
        <v>201</v>
      </c>
      <c r="G102" s="5" t="n">
        <v>205</v>
      </c>
      <c r="H102" s="5" t="n">
        <v>202.2</v>
      </c>
      <c r="I102" s="5" t="n">
        <v>204.7</v>
      </c>
      <c r="K102" s="29" t="n">
        <v>2.755</v>
      </c>
      <c r="L102" s="30" t="n">
        <v>13626</v>
      </c>
    </row>
    <row r="103" customFormat="false" ht="15" hidden="false" customHeight="true" outlineLevel="0" collapsed="false">
      <c r="A103" s="8" t="n">
        <v>101</v>
      </c>
      <c r="B103" s="28" t="n">
        <v>45602</v>
      </c>
      <c r="C103" s="8" t="s">
        <v>1</v>
      </c>
      <c r="D103" s="5" t="n">
        <v>204.7</v>
      </c>
      <c r="E103" s="5" t="n">
        <v>210.9</v>
      </c>
      <c r="F103" s="5" t="n">
        <v>204</v>
      </c>
      <c r="G103" s="5" t="n">
        <v>208.9</v>
      </c>
      <c r="H103" s="5" t="n">
        <v>204.7</v>
      </c>
      <c r="I103" s="5" t="n">
        <v>207.7</v>
      </c>
      <c r="K103" s="29" t="n">
        <v>5.756</v>
      </c>
      <c r="L103" s="30" t="n">
        <v>28117</v>
      </c>
    </row>
    <row r="104" customFormat="false" ht="15" hidden="false" customHeight="true" outlineLevel="0" collapsed="false">
      <c r="A104" s="8" t="n">
        <v>102</v>
      </c>
      <c r="B104" s="28" t="n">
        <v>45601</v>
      </c>
      <c r="C104" s="8" t="s">
        <v>1</v>
      </c>
      <c r="D104" s="5" t="n">
        <v>207.7</v>
      </c>
      <c r="E104" s="5" t="n">
        <v>210</v>
      </c>
      <c r="F104" s="5" t="n">
        <v>206</v>
      </c>
      <c r="G104" s="5" t="n">
        <v>209.8</v>
      </c>
      <c r="H104" s="5" t="n">
        <v>207.7</v>
      </c>
      <c r="I104" s="5" t="n">
        <v>204.2</v>
      </c>
      <c r="K104" s="29" t="n">
        <v>11.155</v>
      </c>
      <c r="L104" s="30" t="n">
        <v>53706</v>
      </c>
    </row>
    <row r="105" customFormat="false" ht="15" hidden="false" customHeight="true" outlineLevel="0" collapsed="false">
      <c r="A105" s="8" t="n">
        <v>103</v>
      </c>
      <c r="B105" s="28" t="n">
        <v>45600</v>
      </c>
      <c r="C105" s="8" t="s">
        <v>1</v>
      </c>
      <c r="D105" s="5" t="n">
        <v>204.2</v>
      </c>
      <c r="E105" s="5" t="n">
        <v>204.9</v>
      </c>
      <c r="F105" s="5" t="n">
        <v>200.3</v>
      </c>
      <c r="G105" s="5" t="n">
        <v>200.3</v>
      </c>
      <c r="H105" s="5" t="n">
        <v>204.2</v>
      </c>
      <c r="I105" s="5" t="n">
        <v>201.4</v>
      </c>
      <c r="K105" s="29" t="n">
        <v>6.583</v>
      </c>
      <c r="L105" s="30" t="n">
        <v>32240</v>
      </c>
    </row>
    <row r="106" customFormat="false" ht="15" hidden="false" customHeight="true" outlineLevel="0" collapsed="false">
      <c r="A106" s="8" t="n">
        <v>104</v>
      </c>
      <c r="B106" s="28" t="n">
        <v>45599</v>
      </c>
      <c r="C106" s="8" t="s">
        <v>1</v>
      </c>
      <c r="D106" s="5" t="n">
        <v>201.4</v>
      </c>
      <c r="E106" s="5" t="n">
        <v>206.9</v>
      </c>
      <c r="F106" s="5" t="n">
        <v>199</v>
      </c>
      <c r="G106" s="5" t="n">
        <v>203</v>
      </c>
      <c r="H106" s="5" t="n">
        <v>201.4</v>
      </c>
      <c r="I106" s="5" t="n">
        <v>203.1</v>
      </c>
      <c r="K106" s="29" t="n">
        <v>4.851</v>
      </c>
      <c r="L106" s="30" t="n">
        <v>24087</v>
      </c>
    </row>
    <row r="107" customFormat="false" ht="15" hidden="false" customHeight="true" outlineLevel="0" collapsed="false">
      <c r="A107" s="8" t="n">
        <v>105</v>
      </c>
      <c r="B107" s="28" t="n">
        <v>45596</v>
      </c>
      <c r="C107" s="8" t="s">
        <v>1</v>
      </c>
      <c r="D107" s="5" t="n">
        <v>203.1</v>
      </c>
      <c r="E107" s="5" t="n">
        <v>205.5</v>
      </c>
      <c r="F107" s="5" t="n">
        <v>199.5</v>
      </c>
      <c r="G107" s="5" t="n">
        <v>203.5</v>
      </c>
      <c r="H107" s="5" t="n">
        <v>203.1</v>
      </c>
      <c r="I107" s="5" t="n">
        <v>205.2</v>
      </c>
      <c r="K107" s="29" t="n">
        <v>4.611</v>
      </c>
      <c r="L107" s="30" t="n">
        <v>22703</v>
      </c>
    </row>
    <row r="108" customFormat="false" ht="15" hidden="false" customHeight="true" outlineLevel="0" collapsed="false">
      <c r="A108" s="8" t="n">
        <v>106</v>
      </c>
      <c r="B108" s="28" t="n">
        <v>45595</v>
      </c>
      <c r="C108" s="8" t="s">
        <v>1</v>
      </c>
      <c r="D108" s="5" t="n">
        <v>205.2</v>
      </c>
      <c r="E108" s="5" t="n">
        <v>205.9</v>
      </c>
      <c r="F108" s="5" t="n">
        <v>196.1</v>
      </c>
      <c r="G108" s="5" t="n">
        <v>199.9</v>
      </c>
      <c r="H108" s="5" t="n">
        <v>205.2</v>
      </c>
      <c r="I108" s="5" t="n">
        <v>195.7</v>
      </c>
      <c r="K108" s="29" t="n">
        <v>5.021</v>
      </c>
      <c r="L108" s="30" t="n">
        <v>24467</v>
      </c>
    </row>
    <row r="109" customFormat="false" ht="15" hidden="false" customHeight="true" outlineLevel="0" collapsed="false">
      <c r="A109" s="8" t="n">
        <v>107</v>
      </c>
      <c r="B109" s="28" t="n">
        <v>45594</v>
      </c>
      <c r="C109" s="8" t="s">
        <v>1</v>
      </c>
      <c r="D109" s="5" t="n">
        <v>195.7</v>
      </c>
      <c r="E109" s="5" t="n">
        <v>198.9</v>
      </c>
      <c r="F109" s="5" t="n">
        <v>192.3</v>
      </c>
      <c r="G109" s="5" t="n">
        <v>198.9</v>
      </c>
      <c r="H109" s="5" t="n">
        <v>195.7</v>
      </c>
      <c r="I109" s="5" t="n">
        <v>192.1</v>
      </c>
      <c r="K109" s="29" t="n">
        <v>3.855</v>
      </c>
      <c r="L109" s="30" t="n">
        <v>19697</v>
      </c>
    </row>
    <row r="110" customFormat="false" ht="15" hidden="false" customHeight="true" outlineLevel="0" collapsed="false">
      <c r="A110" s="8" t="n">
        <v>108</v>
      </c>
      <c r="B110" s="28" t="n">
        <v>45593</v>
      </c>
      <c r="C110" s="8" t="s">
        <v>1</v>
      </c>
      <c r="D110" s="5" t="n">
        <v>192.1</v>
      </c>
      <c r="E110" s="5" t="n">
        <v>198</v>
      </c>
      <c r="F110" s="5" t="n">
        <v>188</v>
      </c>
      <c r="G110" s="5" t="n">
        <v>192.5</v>
      </c>
      <c r="H110" s="5" t="n">
        <v>192.1</v>
      </c>
      <c r="I110" s="5" t="n">
        <v>195.1</v>
      </c>
      <c r="K110" s="29" t="n">
        <v>4.929</v>
      </c>
      <c r="L110" s="30" t="n">
        <v>25660</v>
      </c>
    </row>
    <row r="111" customFormat="false" ht="15" hidden="false" customHeight="true" outlineLevel="0" collapsed="false">
      <c r="A111" s="8" t="n">
        <v>109</v>
      </c>
      <c r="B111" s="28" t="n">
        <v>45592</v>
      </c>
      <c r="C111" s="8" t="s">
        <v>1</v>
      </c>
      <c r="D111" s="5" t="n">
        <v>195.1</v>
      </c>
      <c r="E111" s="5" t="n">
        <v>201.7</v>
      </c>
      <c r="F111" s="5" t="n">
        <v>192</v>
      </c>
      <c r="G111" s="5" t="n">
        <v>199.9</v>
      </c>
      <c r="H111" s="5" t="n">
        <v>195.1</v>
      </c>
      <c r="I111" s="5" t="n">
        <v>199.3</v>
      </c>
      <c r="K111" s="29" t="n">
        <v>5.619</v>
      </c>
      <c r="L111" s="30" t="n">
        <v>28800</v>
      </c>
    </row>
    <row r="112" customFormat="false" ht="15" hidden="false" customHeight="true" outlineLevel="0" collapsed="false">
      <c r="A112" s="8" t="n">
        <v>110</v>
      </c>
      <c r="B112" s="28" t="n">
        <v>45589</v>
      </c>
      <c r="C112" s="8" t="s">
        <v>1</v>
      </c>
      <c r="D112" s="5" t="n">
        <v>199.3</v>
      </c>
      <c r="E112" s="5" t="n">
        <v>204.9</v>
      </c>
      <c r="F112" s="5" t="n">
        <v>197</v>
      </c>
      <c r="G112" s="5" t="n">
        <v>203.2</v>
      </c>
      <c r="H112" s="5" t="n">
        <v>199.3</v>
      </c>
      <c r="I112" s="5" t="n">
        <v>203.2</v>
      </c>
      <c r="K112" s="29" t="n">
        <v>3.39</v>
      </c>
      <c r="L112" s="30" t="n">
        <v>17008</v>
      </c>
    </row>
    <row r="113" customFormat="false" ht="15" hidden="false" customHeight="true" outlineLevel="0" collapsed="false">
      <c r="A113" s="8" t="n">
        <v>111</v>
      </c>
      <c r="B113" s="28" t="n">
        <v>45588</v>
      </c>
      <c r="C113" s="8" t="s">
        <v>1</v>
      </c>
      <c r="D113" s="5" t="n">
        <v>203.2</v>
      </c>
      <c r="E113" s="5" t="n">
        <v>218</v>
      </c>
      <c r="F113" s="5" t="n">
        <v>194.7</v>
      </c>
      <c r="G113" s="5" t="n">
        <v>195.1</v>
      </c>
      <c r="H113" s="5" t="n">
        <v>203.2</v>
      </c>
      <c r="I113" s="5" t="n">
        <v>234.6</v>
      </c>
      <c r="K113" s="29" t="n">
        <v>13.063</v>
      </c>
      <c r="L113" s="30" t="n">
        <v>64284</v>
      </c>
    </row>
    <row r="114" customFormat="false" ht="15" hidden="false" customHeight="true" outlineLevel="0" collapsed="false">
      <c r="A114" s="8" t="n">
        <v>112</v>
      </c>
      <c r="B114" s="28" t="n">
        <v>45587</v>
      </c>
      <c r="C114" s="8" t="s">
        <v>1</v>
      </c>
      <c r="D114" s="5" t="n">
        <v>234.6</v>
      </c>
      <c r="E114" s="5" t="n">
        <v>234.6</v>
      </c>
      <c r="F114" s="5" t="n">
        <v>234.6</v>
      </c>
      <c r="G114" s="5" t="n">
        <v>234.6</v>
      </c>
      <c r="H114" s="5" t="n">
        <v>234.6</v>
      </c>
      <c r="I114" s="5" t="n">
        <v>234.6</v>
      </c>
      <c r="K114" s="29" t="n">
        <v>0</v>
      </c>
      <c r="L114" s="30" t="n">
        <v>0</v>
      </c>
    </row>
    <row r="115" customFormat="false" ht="15" hidden="false" customHeight="true" outlineLevel="0" collapsed="false">
      <c r="A115" s="8" t="n">
        <v>113</v>
      </c>
      <c r="B115" s="28" t="n">
        <v>45586</v>
      </c>
      <c r="C115" s="8" t="s">
        <v>1</v>
      </c>
      <c r="D115" s="5" t="n">
        <v>234.6</v>
      </c>
      <c r="E115" s="5" t="n">
        <v>237.3</v>
      </c>
      <c r="F115" s="5" t="n">
        <v>226.2</v>
      </c>
      <c r="G115" s="5" t="n">
        <v>233</v>
      </c>
      <c r="H115" s="5" t="n">
        <v>234.6</v>
      </c>
      <c r="I115" s="5" t="n">
        <v>235.9</v>
      </c>
      <c r="K115" s="29" t="n">
        <v>35.798</v>
      </c>
      <c r="L115" s="30" t="n">
        <v>152591</v>
      </c>
    </row>
    <row r="116" customFormat="false" ht="15" hidden="false" customHeight="true" outlineLevel="0" collapsed="false">
      <c r="A116" s="8" t="n">
        <v>114</v>
      </c>
      <c r="B116" s="28" t="n">
        <v>45585</v>
      </c>
      <c r="C116" s="8" t="s">
        <v>1</v>
      </c>
      <c r="D116" s="5" t="n">
        <v>235.9</v>
      </c>
      <c r="E116" s="5" t="n">
        <v>238.9</v>
      </c>
      <c r="F116" s="5" t="n">
        <v>230</v>
      </c>
      <c r="G116" s="5" t="n">
        <v>238.9</v>
      </c>
      <c r="H116" s="5" t="n">
        <v>235.9</v>
      </c>
      <c r="I116" s="5" t="n">
        <v>235.9</v>
      </c>
      <c r="K116" s="29" t="n">
        <v>51.108</v>
      </c>
      <c r="L116" s="30" t="n">
        <v>216653</v>
      </c>
    </row>
    <row r="117" customFormat="false" ht="15" hidden="false" customHeight="true" outlineLevel="0" collapsed="false">
      <c r="A117" s="8" t="n">
        <v>115</v>
      </c>
      <c r="B117" s="28" t="n">
        <v>45582</v>
      </c>
      <c r="C117" s="8" t="s">
        <v>1</v>
      </c>
      <c r="D117" s="5" t="n">
        <v>235.9</v>
      </c>
      <c r="E117" s="5" t="n">
        <v>239.5</v>
      </c>
      <c r="F117" s="5" t="n">
        <v>235.1</v>
      </c>
      <c r="G117" s="5" t="n">
        <v>237.8</v>
      </c>
      <c r="H117" s="5" t="n">
        <v>235.9</v>
      </c>
      <c r="I117" s="5" t="n">
        <v>236.9</v>
      </c>
      <c r="K117" s="29" t="n">
        <v>7.093</v>
      </c>
      <c r="L117" s="30" t="n">
        <v>30066</v>
      </c>
    </row>
    <row r="118" customFormat="false" ht="15" hidden="false" customHeight="true" outlineLevel="0" collapsed="false">
      <c r="A118" s="8" t="n">
        <v>116</v>
      </c>
      <c r="B118" s="28" t="n">
        <v>45581</v>
      </c>
      <c r="C118" s="8" t="s">
        <v>1</v>
      </c>
      <c r="D118" s="5" t="n">
        <v>236.9</v>
      </c>
      <c r="E118" s="5" t="n">
        <v>239.7</v>
      </c>
      <c r="F118" s="5" t="n">
        <v>236.5</v>
      </c>
      <c r="G118" s="5" t="n">
        <v>239.7</v>
      </c>
      <c r="H118" s="5" t="n">
        <v>236.9</v>
      </c>
      <c r="I118" s="5" t="n">
        <v>236.4</v>
      </c>
      <c r="K118" s="29" t="n">
        <v>2.276</v>
      </c>
      <c r="L118" s="30" t="n">
        <v>9609</v>
      </c>
    </row>
    <row r="119" customFormat="false" ht="15" hidden="false" customHeight="true" outlineLevel="0" collapsed="false">
      <c r="A119" s="8" t="n">
        <v>117</v>
      </c>
      <c r="B119" s="28" t="n">
        <v>45580</v>
      </c>
      <c r="C119" s="8" t="s">
        <v>1</v>
      </c>
      <c r="D119" s="5" t="n">
        <v>236.4</v>
      </c>
      <c r="E119" s="5" t="n">
        <v>240.5</v>
      </c>
      <c r="F119" s="5" t="n">
        <v>235</v>
      </c>
      <c r="G119" s="5" t="n">
        <v>237.6</v>
      </c>
      <c r="H119" s="5" t="n">
        <v>236.4</v>
      </c>
      <c r="I119" s="5" t="n">
        <v>238.2</v>
      </c>
      <c r="K119" s="29" t="n">
        <v>8.696</v>
      </c>
      <c r="L119" s="30" t="n">
        <v>36786</v>
      </c>
    </row>
    <row r="120" customFormat="false" ht="15" hidden="false" customHeight="true" outlineLevel="0" collapsed="false">
      <c r="A120" s="8" t="n">
        <v>118</v>
      </c>
      <c r="B120" s="28" t="n">
        <v>45579</v>
      </c>
      <c r="C120" s="8" t="s">
        <v>1</v>
      </c>
      <c r="D120" s="5" t="n">
        <v>238.2</v>
      </c>
      <c r="E120" s="5" t="n">
        <v>241.5</v>
      </c>
      <c r="F120" s="5" t="n">
        <v>237.2</v>
      </c>
      <c r="G120" s="5" t="n">
        <v>240</v>
      </c>
      <c r="H120" s="5" t="n">
        <v>238.2</v>
      </c>
      <c r="I120" s="5" t="n">
        <v>239.7</v>
      </c>
      <c r="K120" s="29" t="n">
        <v>7.137</v>
      </c>
      <c r="L120" s="30" t="n">
        <v>29964</v>
      </c>
    </row>
    <row r="121" customFormat="false" ht="15" hidden="false" customHeight="true" outlineLevel="0" collapsed="false">
      <c r="A121" s="8" t="n">
        <v>119</v>
      </c>
      <c r="B121" s="28" t="n">
        <v>45574</v>
      </c>
      <c r="C121" s="8" t="s">
        <v>1</v>
      </c>
      <c r="D121" s="5" t="n">
        <v>239.7</v>
      </c>
      <c r="E121" s="5" t="n">
        <v>241</v>
      </c>
      <c r="F121" s="5" t="n">
        <v>235</v>
      </c>
      <c r="G121" s="5" t="n">
        <v>237</v>
      </c>
      <c r="H121" s="5" t="n">
        <v>239.7</v>
      </c>
      <c r="I121" s="5" t="n">
        <v>235</v>
      </c>
      <c r="K121" s="29" t="n">
        <v>8.231</v>
      </c>
      <c r="L121" s="30" t="n">
        <v>34338</v>
      </c>
    </row>
    <row r="122" customFormat="false" ht="15" hidden="false" customHeight="true" outlineLevel="0" collapsed="false">
      <c r="A122" s="8" t="n">
        <v>120</v>
      </c>
      <c r="B122" s="28" t="n">
        <v>45573</v>
      </c>
      <c r="C122" s="8" t="s">
        <v>1</v>
      </c>
      <c r="D122" s="5" t="n">
        <v>235</v>
      </c>
      <c r="E122" s="5" t="n">
        <v>239.6</v>
      </c>
      <c r="F122" s="5" t="n">
        <v>233</v>
      </c>
      <c r="G122" s="5" t="n">
        <v>235</v>
      </c>
      <c r="H122" s="5" t="n">
        <v>235</v>
      </c>
      <c r="I122" s="5" t="n">
        <v>235.6</v>
      </c>
      <c r="K122" s="29" t="n">
        <v>6.478</v>
      </c>
      <c r="L122" s="30" t="n">
        <v>27565</v>
      </c>
    </row>
    <row r="123" customFormat="false" ht="15" hidden="false" customHeight="true" outlineLevel="0" collapsed="false">
      <c r="A123" s="8" t="n">
        <v>121</v>
      </c>
      <c r="B123" s="28" t="n">
        <v>45572</v>
      </c>
      <c r="C123" s="8" t="s">
        <v>1</v>
      </c>
      <c r="D123" s="5" t="n">
        <v>235.6</v>
      </c>
      <c r="E123" s="5" t="n">
        <v>240</v>
      </c>
      <c r="F123" s="5" t="n">
        <v>235.3</v>
      </c>
      <c r="G123" s="5" t="n">
        <v>238.9</v>
      </c>
      <c r="H123" s="5" t="n">
        <v>235.6</v>
      </c>
      <c r="I123" s="5" t="n">
        <v>238.9</v>
      </c>
      <c r="K123" s="29" t="n">
        <v>14.44</v>
      </c>
      <c r="L123" s="30" t="n">
        <v>61291</v>
      </c>
    </row>
    <row r="124" customFormat="false" ht="15" hidden="false" customHeight="true" outlineLevel="0" collapsed="false">
      <c r="A124" s="8" t="n">
        <v>122</v>
      </c>
      <c r="B124" s="28" t="n">
        <v>45571</v>
      </c>
      <c r="C124" s="8" t="s">
        <v>1</v>
      </c>
      <c r="D124" s="5" t="n">
        <v>238.9</v>
      </c>
      <c r="E124" s="5" t="n">
        <v>244.6</v>
      </c>
      <c r="F124" s="5" t="n">
        <v>238</v>
      </c>
      <c r="G124" s="5" t="n">
        <v>244.6</v>
      </c>
      <c r="H124" s="5" t="n">
        <v>238.9</v>
      </c>
      <c r="I124" s="5" t="n">
        <v>242.6</v>
      </c>
      <c r="K124" s="29" t="n">
        <v>9.868</v>
      </c>
      <c r="L124" s="30" t="n">
        <v>41304</v>
      </c>
    </row>
    <row r="125" customFormat="false" ht="15" hidden="false" customHeight="true" outlineLevel="0" collapsed="false">
      <c r="A125" s="8" t="n">
        <v>123</v>
      </c>
      <c r="B125" s="28" t="n">
        <v>45568</v>
      </c>
      <c r="C125" s="8" t="s">
        <v>1</v>
      </c>
      <c r="D125" s="5" t="n">
        <v>242.6</v>
      </c>
      <c r="E125" s="5" t="n">
        <v>246.2</v>
      </c>
      <c r="F125" s="5" t="n">
        <v>240.7</v>
      </c>
      <c r="G125" s="5" t="n">
        <v>246.2</v>
      </c>
      <c r="H125" s="5" t="n">
        <v>242.6</v>
      </c>
      <c r="I125" s="5" t="n">
        <v>246</v>
      </c>
      <c r="K125" s="29" t="n">
        <v>13.225</v>
      </c>
      <c r="L125" s="30" t="n">
        <v>54513</v>
      </c>
    </row>
    <row r="126" customFormat="false" ht="15" hidden="false" customHeight="true" outlineLevel="0" collapsed="false">
      <c r="A126" s="8" t="n">
        <v>124</v>
      </c>
      <c r="B126" s="28" t="n">
        <v>45567</v>
      </c>
      <c r="C126" s="8" t="s">
        <v>1</v>
      </c>
      <c r="D126" s="5" t="n">
        <v>246</v>
      </c>
      <c r="E126" s="5" t="n">
        <v>248</v>
      </c>
      <c r="F126" s="5" t="n">
        <v>239.4</v>
      </c>
      <c r="G126" s="5" t="n">
        <v>245</v>
      </c>
      <c r="H126" s="5" t="n">
        <v>246</v>
      </c>
      <c r="I126" s="5" t="n">
        <v>243</v>
      </c>
      <c r="K126" s="29" t="n">
        <v>22.819</v>
      </c>
      <c r="L126" s="30" t="n">
        <v>92759</v>
      </c>
    </row>
    <row r="127" customFormat="false" ht="15" hidden="false" customHeight="true" outlineLevel="0" collapsed="false">
      <c r="A127" s="8" t="n">
        <v>125</v>
      </c>
      <c r="B127" s="28" t="n">
        <v>45566</v>
      </c>
      <c r="C127" s="8" t="s">
        <v>1</v>
      </c>
      <c r="D127" s="5" t="n">
        <v>243</v>
      </c>
      <c r="E127" s="5" t="n">
        <v>260</v>
      </c>
      <c r="F127" s="5" t="n">
        <v>240</v>
      </c>
      <c r="G127" s="5" t="n">
        <v>250</v>
      </c>
      <c r="H127" s="5" t="n">
        <v>243</v>
      </c>
      <c r="I127" s="5" t="n">
        <v>239.9</v>
      </c>
      <c r="K127" s="29" t="n">
        <v>89.148</v>
      </c>
      <c r="L127" s="30" t="n">
        <v>366865</v>
      </c>
    </row>
    <row r="128" customFormat="false" ht="15" hidden="false" customHeight="true" outlineLevel="0" collapsed="false">
      <c r="A128" s="8" t="n">
        <v>126</v>
      </c>
      <c r="B128" s="28" t="n">
        <v>45565</v>
      </c>
      <c r="C128" s="8" t="s">
        <v>1</v>
      </c>
      <c r="D128" s="5" t="n">
        <v>239.9</v>
      </c>
      <c r="E128" s="5" t="n">
        <v>241.3</v>
      </c>
      <c r="F128" s="5" t="n">
        <v>232.7</v>
      </c>
      <c r="G128" s="5" t="n">
        <v>236.8</v>
      </c>
      <c r="H128" s="5" t="n">
        <v>239.9</v>
      </c>
      <c r="I128" s="5" t="n">
        <v>234.6</v>
      </c>
      <c r="K128" s="29" t="n">
        <v>8.295</v>
      </c>
      <c r="L128" s="30" t="n">
        <v>34576</v>
      </c>
    </row>
    <row r="129" customFormat="false" ht="15" hidden="false" customHeight="true" outlineLevel="0" collapsed="false">
      <c r="A129" s="8" t="n">
        <v>127</v>
      </c>
      <c r="B129" s="28" t="n">
        <v>45564</v>
      </c>
      <c r="C129" s="8" t="s">
        <v>1</v>
      </c>
      <c r="D129" s="5" t="n">
        <v>234.6</v>
      </c>
      <c r="E129" s="5" t="n">
        <v>238.9</v>
      </c>
      <c r="F129" s="5" t="n">
        <v>232</v>
      </c>
      <c r="G129" s="5" t="n">
        <v>235</v>
      </c>
      <c r="H129" s="5" t="n">
        <v>234.6</v>
      </c>
      <c r="I129" s="5" t="n">
        <v>234.1</v>
      </c>
      <c r="K129" s="29" t="n">
        <v>4.216</v>
      </c>
      <c r="L129" s="30" t="n">
        <v>17969</v>
      </c>
    </row>
    <row r="130" customFormat="false" ht="15" hidden="false" customHeight="true" outlineLevel="0" collapsed="false">
      <c r="A130" s="8" t="n">
        <v>128</v>
      </c>
      <c r="B130" s="28" t="n">
        <v>45561</v>
      </c>
      <c r="C130" s="8" t="s">
        <v>1</v>
      </c>
      <c r="D130" s="5" t="n">
        <v>234.1</v>
      </c>
      <c r="E130" s="5" t="n">
        <v>249.9</v>
      </c>
      <c r="F130" s="5" t="n">
        <v>229</v>
      </c>
      <c r="G130" s="5" t="n">
        <v>242.1</v>
      </c>
      <c r="H130" s="5" t="n">
        <v>234.1</v>
      </c>
      <c r="I130" s="5" t="n">
        <v>236.2</v>
      </c>
      <c r="K130" s="29" t="n">
        <v>5.449</v>
      </c>
      <c r="L130" s="30" t="n">
        <v>23277</v>
      </c>
    </row>
    <row r="131" customFormat="false" ht="15" hidden="false" customHeight="true" outlineLevel="0" collapsed="false">
      <c r="A131" s="8" t="n">
        <v>129</v>
      </c>
      <c r="B131" s="28" t="n">
        <v>45560</v>
      </c>
      <c r="C131" s="8" t="s">
        <v>1</v>
      </c>
      <c r="D131" s="5" t="n">
        <v>236.2</v>
      </c>
      <c r="E131" s="5" t="n">
        <v>243.2</v>
      </c>
      <c r="F131" s="5" t="n">
        <v>235</v>
      </c>
      <c r="G131" s="5" t="n">
        <v>235.5</v>
      </c>
      <c r="H131" s="5" t="n">
        <v>236.2</v>
      </c>
      <c r="I131" s="5" t="n">
        <v>240</v>
      </c>
      <c r="K131" s="29" t="n">
        <v>6.347</v>
      </c>
      <c r="L131" s="30" t="n">
        <v>26870</v>
      </c>
    </row>
    <row r="132" customFormat="false" ht="15" hidden="false" customHeight="true" outlineLevel="0" collapsed="false">
      <c r="A132" s="8" t="n">
        <v>130</v>
      </c>
      <c r="B132" s="28" t="n">
        <v>45559</v>
      </c>
      <c r="C132" s="8" t="s">
        <v>1</v>
      </c>
      <c r="D132" s="5" t="n">
        <v>240</v>
      </c>
      <c r="E132" s="5" t="n">
        <v>253</v>
      </c>
      <c r="F132" s="5" t="n">
        <v>238</v>
      </c>
      <c r="G132" s="5" t="n">
        <v>253</v>
      </c>
      <c r="H132" s="5" t="n">
        <v>240</v>
      </c>
      <c r="I132" s="5" t="n">
        <v>238.9</v>
      </c>
      <c r="K132" s="29" t="n">
        <v>8.286</v>
      </c>
      <c r="L132" s="30" t="n">
        <v>34527</v>
      </c>
    </row>
    <row r="133" customFormat="false" ht="15" hidden="false" customHeight="true" outlineLevel="0" collapsed="false">
      <c r="A133" s="8" t="n">
        <v>131</v>
      </c>
      <c r="B133" s="28" t="n">
        <v>45558</v>
      </c>
      <c r="C133" s="8" t="s">
        <v>1</v>
      </c>
      <c r="D133" s="5" t="n">
        <v>238.9</v>
      </c>
      <c r="E133" s="5" t="n">
        <v>245</v>
      </c>
      <c r="F133" s="5" t="n">
        <v>237</v>
      </c>
      <c r="G133" s="5" t="n">
        <v>245</v>
      </c>
      <c r="H133" s="5" t="n">
        <v>238.9</v>
      </c>
      <c r="I133" s="5" t="n">
        <v>240.3</v>
      </c>
      <c r="K133" s="29" t="n">
        <v>4.986</v>
      </c>
      <c r="L133" s="30" t="n">
        <v>20872</v>
      </c>
    </row>
    <row r="134" customFormat="false" ht="15" hidden="false" customHeight="true" outlineLevel="0" collapsed="false">
      <c r="A134" s="8" t="n">
        <v>132</v>
      </c>
      <c r="B134" s="28" t="n">
        <v>45557</v>
      </c>
      <c r="C134" s="8" t="s">
        <v>1</v>
      </c>
      <c r="D134" s="5" t="n">
        <v>240.3</v>
      </c>
      <c r="E134" s="5" t="n">
        <v>243.9</v>
      </c>
      <c r="F134" s="5" t="n">
        <v>238.5</v>
      </c>
      <c r="G134" s="5" t="n">
        <v>241.2</v>
      </c>
      <c r="H134" s="5" t="n">
        <v>240.3</v>
      </c>
      <c r="I134" s="5" t="n">
        <v>240.4</v>
      </c>
      <c r="K134" s="29" t="n">
        <v>8.462</v>
      </c>
      <c r="L134" s="30" t="n">
        <v>35214</v>
      </c>
    </row>
    <row r="135" customFormat="false" ht="15" hidden="false" customHeight="true" outlineLevel="0" collapsed="false">
      <c r="A135" s="8" t="n">
        <v>133</v>
      </c>
      <c r="B135" s="28" t="n">
        <v>45554</v>
      </c>
      <c r="C135" s="8" t="s">
        <v>1</v>
      </c>
      <c r="D135" s="5" t="n">
        <v>240.4</v>
      </c>
      <c r="E135" s="5" t="n">
        <v>242.9</v>
      </c>
      <c r="F135" s="5" t="n">
        <v>240</v>
      </c>
      <c r="G135" s="5" t="n">
        <v>241.1</v>
      </c>
      <c r="H135" s="5" t="n">
        <v>240.4</v>
      </c>
      <c r="I135" s="5" t="n">
        <v>241.4</v>
      </c>
      <c r="K135" s="29" t="n">
        <v>4.214</v>
      </c>
      <c r="L135" s="30" t="n">
        <v>17528</v>
      </c>
    </row>
    <row r="136" customFormat="false" ht="15" hidden="false" customHeight="true" outlineLevel="0" collapsed="false">
      <c r="A136" s="8" t="n">
        <v>134</v>
      </c>
      <c r="B136" s="28" t="n">
        <v>45553</v>
      </c>
      <c r="C136" s="8" t="s">
        <v>1</v>
      </c>
      <c r="D136" s="5" t="n">
        <v>241.4</v>
      </c>
      <c r="E136" s="5" t="n">
        <v>243.8</v>
      </c>
      <c r="F136" s="5" t="n">
        <v>240</v>
      </c>
      <c r="G136" s="5" t="n">
        <v>240.6</v>
      </c>
      <c r="H136" s="5" t="n">
        <v>241.4</v>
      </c>
      <c r="I136" s="5" t="n">
        <v>241.1</v>
      </c>
      <c r="K136" s="29" t="n">
        <v>2.823</v>
      </c>
      <c r="L136" s="30" t="n">
        <v>11695</v>
      </c>
    </row>
    <row r="137" customFormat="false" ht="15" hidden="false" customHeight="true" outlineLevel="0" collapsed="false">
      <c r="A137" s="8" t="n">
        <v>135</v>
      </c>
      <c r="B137" s="28" t="n">
        <v>45552</v>
      </c>
      <c r="C137" s="8" t="s">
        <v>1</v>
      </c>
      <c r="D137" s="5" t="n">
        <v>241.1</v>
      </c>
      <c r="E137" s="5" t="n">
        <v>245.4</v>
      </c>
      <c r="F137" s="5" t="n">
        <v>240.5</v>
      </c>
      <c r="G137" s="5" t="n">
        <v>240.5</v>
      </c>
      <c r="H137" s="5" t="n">
        <v>241.1</v>
      </c>
      <c r="I137" s="5" t="n">
        <v>243.6</v>
      </c>
      <c r="K137" s="29" t="n">
        <v>3.725</v>
      </c>
      <c r="L137" s="30" t="n">
        <v>15451</v>
      </c>
    </row>
    <row r="138" customFormat="false" ht="15" hidden="false" customHeight="true" outlineLevel="0" collapsed="false">
      <c r="A138" s="8" t="n">
        <v>136</v>
      </c>
      <c r="B138" s="28" t="n">
        <v>45550</v>
      </c>
      <c r="C138" s="8" t="s">
        <v>1</v>
      </c>
      <c r="D138" s="5" t="n">
        <v>243.6</v>
      </c>
      <c r="E138" s="5" t="n">
        <v>249</v>
      </c>
      <c r="F138" s="5" t="n">
        <v>242.4</v>
      </c>
      <c r="G138" s="5" t="n">
        <v>248.9</v>
      </c>
      <c r="H138" s="5" t="n">
        <v>243.6</v>
      </c>
      <c r="I138" s="5" t="n">
        <v>245.6</v>
      </c>
      <c r="K138" s="29" t="n">
        <v>6.412</v>
      </c>
      <c r="L138" s="30" t="n">
        <v>26320</v>
      </c>
    </row>
    <row r="139" customFormat="false" ht="15" hidden="false" customHeight="true" outlineLevel="0" collapsed="false">
      <c r="A139" s="8" t="n">
        <v>137</v>
      </c>
      <c r="B139" s="28" t="n">
        <v>45547</v>
      </c>
      <c r="C139" s="8" t="s">
        <v>1</v>
      </c>
      <c r="D139" s="5" t="n">
        <v>245.6</v>
      </c>
      <c r="E139" s="5" t="n">
        <v>249.2</v>
      </c>
      <c r="F139" s="5" t="n">
        <v>237</v>
      </c>
      <c r="G139" s="5" t="n">
        <v>237</v>
      </c>
      <c r="H139" s="5" t="n">
        <v>245.6</v>
      </c>
      <c r="I139" s="5" t="n">
        <v>237</v>
      </c>
      <c r="K139" s="29" t="n">
        <v>18.193</v>
      </c>
      <c r="L139" s="30" t="n">
        <v>74075</v>
      </c>
    </row>
    <row r="140" customFormat="false" ht="15" hidden="false" customHeight="true" outlineLevel="0" collapsed="false">
      <c r="A140" s="8" t="n">
        <v>138</v>
      </c>
      <c r="B140" s="28" t="n">
        <v>45546</v>
      </c>
      <c r="C140" s="8" t="s">
        <v>1</v>
      </c>
      <c r="D140" s="5" t="n">
        <v>237</v>
      </c>
      <c r="E140" s="5" t="n">
        <v>241.4</v>
      </c>
      <c r="F140" s="5" t="n">
        <v>235.2</v>
      </c>
      <c r="G140" s="5" t="n">
        <v>241.4</v>
      </c>
      <c r="H140" s="5" t="n">
        <v>237</v>
      </c>
      <c r="I140" s="5" t="n">
        <v>235.7</v>
      </c>
      <c r="K140" s="29" t="n">
        <v>4.687</v>
      </c>
      <c r="L140" s="30" t="n">
        <v>19776</v>
      </c>
    </row>
    <row r="141" customFormat="false" ht="15" hidden="false" customHeight="true" outlineLevel="0" collapsed="false">
      <c r="A141" s="8" t="n">
        <v>139</v>
      </c>
      <c r="B141" s="28" t="n">
        <v>45545</v>
      </c>
      <c r="C141" s="8" t="s">
        <v>1</v>
      </c>
      <c r="D141" s="5" t="n">
        <v>235.7</v>
      </c>
      <c r="E141" s="5" t="n">
        <v>237</v>
      </c>
      <c r="F141" s="5" t="n">
        <v>231.1</v>
      </c>
      <c r="G141" s="5" t="n">
        <v>231.3</v>
      </c>
      <c r="H141" s="5" t="n">
        <v>235.7</v>
      </c>
      <c r="I141" s="5" t="n">
        <v>232.8</v>
      </c>
      <c r="K141" s="29" t="n">
        <v>2.337</v>
      </c>
      <c r="L141" s="30" t="n">
        <v>9915</v>
      </c>
    </row>
    <row r="142" customFormat="false" ht="15" hidden="false" customHeight="true" outlineLevel="0" collapsed="false">
      <c r="A142" s="8" t="n">
        <v>140</v>
      </c>
      <c r="B142" s="28" t="n">
        <v>45544</v>
      </c>
      <c r="C142" s="8" t="s">
        <v>1</v>
      </c>
      <c r="D142" s="5" t="n">
        <v>232.8</v>
      </c>
      <c r="E142" s="5" t="n">
        <v>238</v>
      </c>
      <c r="F142" s="5" t="n">
        <v>231.2</v>
      </c>
      <c r="G142" s="5" t="n">
        <v>233.2</v>
      </c>
      <c r="H142" s="5" t="n">
        <v>232.8</v>
      </c>
      <c r="I142" s="5" t="n">
        <v>236.2</v>
      </c>
      <c r="K142" s="29" t="n">
        <v>3.828</v>
      </c>
      <c r="L142" s="30" t="n">
        <v>16442</v>
      </c>
    </row>
    <row r="143" customFormat="false" ht="15" hidden="false" customHeight="true" outlineLevel="0" collapsed="false">
      <c r="A143" s="8" t="n">
        <v>141</v>
      </c>
      <c r="B143" s="28" t="n">
        <v>45543</v>
      </c>
      <c r="C143" s="8" t="s">
        <v>1</v>
      </c>
      <c r="D143" s="5" t="n">
        <v>236.2</v>
      </c>
      <c r="E143" s="5" t="n">
        <v>241.5</v>
      </c>
      <c r="F143" s="5" t="n">
        <v>235.3</v>
      </c>
      <c r="G143" s="5" t="n">
        <v>236.2</v>
      </c>
      <c r="H143" s="5" t="n">
        <v>236.2</v>
      </c>
      <c r="I143" s="5" t="n">
        <v>236.1</v>
      </c>
      <c r="K143" s="29" t="n">
        <v>6.865</v>
      </c>
      <c r="L143" s="30" t="n">
        <v>29066</v>
      </c>
    </row>
    <row r="144" customFormat="false" ht="15" hidden="false" customHeight="true" outlineLevel="0" collapsed="false">
      <c r="A144" s="8" t="n">
        <v>142</v>
      </c>
      <c r="B144" s="28" t="n">
        <v>45540</v>
      </c>
      <c r="C144" s="8" t="s">
        <v>1</v>
      </c>
      <c r="D144" s="5" t="n">
        <v>236.1</v>
      </c>
      <c r="E144" s="5" t="n">
        <v>239</v>
      </c>
      <c r="F144" s="5" t="n">
        <v>235.1</v>
      </c>
      <c r="G144" s="5" t="n">
        <v>236</v>
      </c>
      <c r="H144" s="5" t="n">
        <v>236.1</v>
      </c>
      <c r="I144" s="5" t="n">
        <v>238.2</v>
      </c>
      <c r="K144" s="29" t="n">
        <v>2.984</v>
      </c>
      <c r="L144" s="30" t="n">
        <v>12638</v>
      </c>
    </row>
    <row r="145" customFormat="false" ht="15" hidden="false" customHeight="true" outlineLevel="0" collapsed="false">
      <c r="A145" s="8" t="n">
        <v>143</v>
      </c>
      <c r="B145" s="28" t="n">
        <v>45539</v>
      </c>
      <c r="C145" s="8" t="s">
        <v>1</v>
      </c>
      <c r="D145" s="5" t="n">
        <v>238.2</v>
      </c>
      <c r="E145" s="5" t="n">
        <v>241.4</v>
      </c>
      <c r="F145" s="5" t="n">
        <v>237.7</v>
      </c>
      <c r="G145" s="5" t="n">
        <v>240</v>
      </c>
      <c r="H145" s="5" t="n">
        <v>238.2</v>
      </c>
      <c r="I145" s="5" t="n">
        <v>238.7</v>
      </c>
      <c r="K145" s="29" t="n">
        <v>5.36</v>
      </c>
      <c r="L145" s="30" t="n">
        <v>22504</v>
      </c>
    </row>
    <row r="146" customFormat="false" ht="15" hidden="false" customHeight="true" outlineLevel="0" collapsed="false">
      <c r="A146" s="8" t="n">
        <v>144</v>
      </c>
      <c r="B146" s="28" t="n">
        <v>45538</v>
      </c>
      <c r="C146" s="8" t="s">
        <v>1</v>
      </c>
      <c r="D146" s="5" t="n">
        <v>238.7</v>
      </c>
      <c r="E146" s="5" t="n">
        <v>244</v>
      </c>
      <c r="F146" s="5" t="n">
        <v>235.5</v>
      </c>
      <c r="G146" s="5" t="n">
        <v>235.5</v>
      </c>
      <c r="H146" s="5" t="n">
        <v>238.7</v>
      </c>
      <c r="I146" s="5" t="n">
        <v>238.9</v>
      </c>
      <c r="K146" s="29" t="n">
        <v>6.319</v>
      </c>
      <c r="L146" s="30" t="n">
        <v>26473</v>
      </c>
    </row>
    <row r="147" customFormat="false" ht="15" hidden="false" customHeight="true" outlineLevel="0" collapsed="false">
      <c r="A147" s="8" t="n">
        <v>145</v>
      </c>
      <c r="B147" s="28" t="n">
        <v>45537</v>
      </c>
      <c r="C147" s="8" t="s">
        <v>1</v>
      </c>
      <c r="D147" s="5" t="n">
        <v>238.9</v>
      </c>
      <c r="E147" s="5" t="n">
        <v>243.5</v>
      </c>
      <c r="F147" s="5" t="n">
        <v>238</v>
      </c>
      <c r="G147" s="5" t="n">
        <v>242.4</v>
      </c>
      <c r="H147" s="5" t="n">
        <v>238.9</v>
      </c>
      <c r="I147" s="5" t="n">
        <v>242.4</v>
      </c>
      <c r="K147" s="29" t="n">
        <v>4.922</v>
      </c>
      <c r="L147" s="30" t="n">
        <v>20603</v>
      </c>
    </row>
    <row r="148" customFormat="false" ht="15" hidden="false" customHeight="true" outlineLevel="0" collapsed="false">
      <c r="A148" s="8" t="n">
        <v>146</v>
      </c>
      <c r="B148" s="28" t="n">
        <v>45536</v>
      </c>
      <c r="C148" s="8" t="s">
        <v>1</v>
      </c>
      <c r="D148" s="5" t="n">
        <v>242.4</v>
      </c>
      <c r="E148" s="5" t="n">
        <v>246.9</v>
      </c>
      <c r="F148" s="5" t="n">
        <v>238</v>
      </c>
      <c r="G148" s="5" t="n">
        <v>239.8</v>
      </c>
      <c r="H148" s="5" t="n">
        <v>242.4</v>
      </c>
      <c r="I148" s="5" t="n">
        <v>237.3</v>
      </c>
      <c r="K148" s="29" t="n">
        <v>8.444</v>
      </c>
      <c r="L148" s="30" t="n">
        <v>34836</v>
      </c>
    </row>
    <row r="149" customFormat="false" ht="15" hidden="false" customHeight="true" outlineLevel="0" collapsed="false">
      <c r="A149" s="8" t="n">
        <v>147</v>
      </c>
      <c r="B149" s="28" t="n">
        <v>45533</v>
      </c>
      <c r="C149" s="8" t="s">
        <v>1</v>
      </c>
      <c r="D149" s="5" t="n">
        <v>237.3</v>
      </c>
      <c r="E149" s="5" t="n">
        <v>239</v>
      </c>
      <c r="F149" s="5" t="n">
        <v>235.1</v>
      </c>
      <c r="G149" s="5" t="n">
        <v>235.1</v>
      </c>
      <c r="H149" s="5" t="n">
        <v>237.3</v>
      </c>
      <c r="I149" s="5" t="n">
        <v>238</v>
      </c>
      <c r="K149" s="29" t="n">
        <v>4.051</v>
      </c>
      <c r="L149" s="30" t="n">
        <v>17072</v>
      </c>
    </row>
    <row r="150" customFormat="false" ht="15" hidden="false" customHeight="true" outlineLevel="0" collapsed="false">
      <c r="A150" s="8" t="n">
        <v>148</v>
      </c>
      <c r="B150" s="28" t="n">
        <v>45532</v>
      </c>
      <c r="C150" s="8" t="s">
        <v>1</v>
      </c>
      <c r="D150" s="5" t="n">
        <v>238</v>
      </c>
      <c r="E150" s="5" t="n">
        <v>240</v>
      </c>
      <c r="F150" s="5" t="n">
        <v>235</v>
      </c>
      <c r="G150" s="5" t="n">
        <v>237.7</v>
      </c>
      <c r="H150" s="5" t="n">
        <v>238</v>
      </c>
      <c r="I150" s="5" t="n">
        <v>237.6</v>
      </c>
      <c r="K150" s="29" t="n">
        <v>3.927</v>
      </c>
      <c r="L150" s="30" t="n">
        <v>16498</v>
      </c>
    </row>
    <row r="151" customFormat="false" ht="15" hidden="false" customHeight="true" outlineLevel="0" collapsed="false">
      <c r="A151" s="8" t="n">
        <v>149</v>
      </c>
      <c r="B151" s="28" t="n">
        <v>45531</v>
      </c>
      <c r="C151" s="8" t="s">
        <v>1</v>
      </c>
      <c r="D151" s="5" t="n">
        <v>237.6</v>
      </c>
      <c r="E151" s="5" t="n">
        <v>239</v>
      </c>
      <c r="F151" s="5" t="n">
        <v>226.7</v>
      </c>
      <c r="G151" s="5" t="n">
        <v>230.1</v>
      </c>
      <c r="H151" s="5" t="n">
        <v>237.6</v>
      </c>
      <c r="I151" s="5" t="n">
        <v>229.3</v>
      </c>
      <c r="K151" s="29" t="n">
        <v>15.989</v>
      </c>
      <c r="L151" s="30" t="n">
        <v>67292</v>
      </c>
    </row>
    <row r="152" customFormat="false" ht="15" hidden="false" customHeight="true" outlineLevel="0" collapsed="false">
      <c r="A152" s="8" t="n">
        <v>150</v>
      </c>
      <c r="B152" s="28" t="n">
        <v>45529</v>
      </c>
      <c r="C152" s="8" t="s">
        <v>1</v>
      </c>
      <c r="D152" s="5" t="n">
        <v>229.3</v>
      </c>
      <c r="E152" s="5" t="n">
        <v>232.9</v>
      </c>
      <c r="F152" s="5" t="n">
        <v>225</v>
      </c>
      <c r="G152" s="5" t="n">
        <v>230.1</v>
      </c>
      <c r="H152" s="5" t="n">
        <v>229.3</v>
      </c>
      <c r="I152" s="5" t="n">
        <v>230.1</v>
      </c>
      <c r="K152" s="29" t="n">
        <v>9.022</v>
      </c>
      <c r="L152" s="30" t="n">
        <v>39346</v>
      </c>
    </row>
    <row r="153" customFormat="false" ht="15" hidden="false" customHeight="true" outlineLevel="0" collapsed="false">
      <c r="A153" s="8" t="n">
        <v>151</v>
      </c>
      <c r="B153" s="28" t="n">
        <v>45526</v>
      </c>
      <c r="C153" s="8" t="s">
        <v>1</v>
      </c>
      <c r="D153" s="5" t="n">
        <v>230.1</v>
      </c>
      <c r="E153" s="5" t="n">
        <v>233.9</v>
      </c>
      <c r="F153" s="5" t="n">
        <v>225</v>
      </c>
      <c r="G153" s="5" t="n">
        <v>227</v>
      </c>
      <c r="H153" s="5" t="n">
        <v>230.1</v>
      </c>
      <c r="I153" s="5" t="n">
        <v>231.9</v>
      </c>
      <c r="K153" s="29" t="n">
        <v>14.549</v>
      </c>
      <c r="L153" s="30" t="n">
        <v>63229</v>
      </c>
    </row>
    <row r="154" customFormat="false" ht="15" hidden="false" customHeight="true" outlineLevel="0" collapsed="false">
      <c r="A154" s="8" t="n">
        <v>152</v>
      </c>
      <c r="B154" s="28" t="n">
        <v>45525</v>
      </c>
      <c r="C154" s="8" t="s">
        <v>1</v>
      </c>
      <c r="D154" s="5" t="n">
        <v>231.9</v>
      </c>
      <c r="E154" s="5" t="n">
        <v>239.9</v>
      </c>
      <c r="F154" s="5" t="n">
        <v>231.9</v>
      </c>
      <c r="G154" s="5" t="n">
        <v>239.9</v>
      </c>
      <c r="H154" s="5" t="n">
        <v>231.9</v>
      </c>
      <c r="I154" s="5" t="n">
        <v>239</v>
      </c>
      <c r="K154" s="29" t="n">
        <v>18.831</v>
      </c>
      <c r="L154" s="30" t="n">
        <v>81202</v>
      </c>
    </row>
    <row r="155" customFormat="false" ht="15" hidden="false" customHeight="true" outlineLevel="0" collapsed="false">
      <c r="A155" s="8" t="n">
        <v>153</v>
      </c>
      <c r="B155" s="28" t="n">
        <v>45524</v>
      </c>
      <c r="C155" s="8" t="s">
        <v>1</v>
      </c>
      <c r="D155" s="5" t="n">
        <v>239</v>
      </c>
      <c r="E155" s="5" t="n">
        <v>242</v>
      </c>
      <c r="F155" s="5" t="n">
        <v>237.7</v>
      </c>
      <c r="G155" s="5" t="n">
        <v>238.7</v>
      </c>
      <c r="H155" s="5" t="n">
        <v>239</v>
      </c>
      <c r="I155" s="5" t="n">
        <v>239.2</v>
      </c>
      <c r="K155" s="29" t="n">
        <v>1.828</v>
      </c>
      <c r="L155" s="30" t="n">
        <v>7650</v>
      </c>
    </row>
    <row r="156" customFormat="false" ht="15" hidden="false" customHeight="true" outlineLevel="0" collapsed="false">
      <c r="A156" s="8" t="n">
        <v>154</v>
      </c>
      <c r="B156" s="28" t="n">
        <v>45523</v>
      </c>
      <c r="C156" s="8" t="s">
        <v>1</v>
      </c>
      <c r="D156" s="5" t="n">
        <v>239.2</v>
      </c>
      <c r="E156" s="5" t="n">
        <v>242.8</v>
      </c>
      <c r="F156" s="5" t="n">
        <v>238</v>
      </c>
      <c r="G156" s="5" t="n">
        <v>238</v>
      </c>
      <c r="H156" s="5" t="n">
        <v>239.2</v>
      </c>
      <c r="I156" s="5" t="n">
        <v>240.5</v>
      </c>
      <c r="K156" s="29" t="n">
        <v>4.08</v>
      </c>
      <c r="L156" s="30" t="n">
        <v>17056</v>
      </c>
    </row>
    <row r="157" customFormat="false" ht="15" hidden="false" customHeight="true" outlineLevel="0" collapsed="false">
      <c r="A157" s="8" t="n">
        <v>155</v>
      </c>
      <c r="B157" s="28" t="n">
        <v>45522</v>
      </c>
      <c r="C157" s="8" t="s">
        <v>1</v>
      </c>
      <c r="D157" s="5" t="n">
        <v>240.5</v>
      </c>
      <c r="E157" s="5" t="n">
        <v>245.5</v>
      </c>
      <c r="F157" s="5" t="n">
        <v>239.3</v>
      </c>
      <c r="G157" s="5" t="n">
        <v>244</v>
      </c>
      <c r="H157" s="5" t="n">
        <v>240.5</v>
      </c>
      <c r="I157" s="5" t="n">
        <v>244</v>
      </c>
      <c r="K157" s="29" t="n">
        <v>4.698</v>
      </c>
      <c r="L157" s="30" t="n">
        <v>19536</v>
      </c>
    </row>
    <row r="158" customFormat="false" ht="15" hidden="false" customHeight="true" outlineLevel="0" collapsed="false">
      <c r="A158" s="8" t="n">
        <v>156</v>
      </c>
      <c r="B158" s="28" t="n">
        <v>45519</v>
      </c>
      <c r="C158" s="8" t="s">
        <v>1</v>
      </c>
      <c r="D158" s="5" t="n">
        <v>244</v>
      </c>
      <c r="E158" s="5" t="n">
        <v>247</v>
      </c>
      <c r="F158" s="5" t="n">
        <v>239.3</v>
      </c>
      <c r="G158" s="5" t="n">
        <v>243</v>
      </c>
      <c r="H158" s="5" t="n">
        <v>244</v>
      </c>
      <c r="I158" s="5" t="n">
        <v>246.7</v>
      </c>
      <c r="K158" s="29" t="n">
        <v>5.789</v>
      </c>
      <c r="L158" s="30" t="n">
        <v>23724</v>
      </c>
    </row>
    <row r="159" customFormat="false" ht="15" hidden="false" customHeight="true" outlineLevel="0" collapsed="false">
      <c r="A159" s="8" t="n">
        <v>157</v>
      </c>
      <c r="B159" s="28" t="n">
        <v>45518</v>
      </c>
      <c r="C159" s="8" t="s">
        <v>1</v>
      </c>
      <c r="D159" s="5" t="n">
        <v>246.7</v>
      </c>
      <c r="E159" s="5" t="n">
        <v>253</v>
      </c>
      <c r="F159" s="5" t="n">
        <v>241.6</v>
      </c>
      <c r="G159" s="5" t="n">
        <v>253</v>
      </c>
      <c r="H159" s="5" t="n">
        <v>246.7</v>
      </c>
      <c r="I159" s="5" t="n">
        <v>246.6</v>
      </c>
      <c r="K159" s="29" t="n">
        <v>6.073</v>
      </c>
      <c r="L159" s="30" t="n">
        <v>24618</v>
      </c>
    </row>
    <row r="160" customFormat="false" ht="15" hidden="false" customHeight="true" outlineLevel="0" collapsed="false">
      <c r="A160" s="8" t="n">
        <v>158</v>
      </c>
      <c r="B160" s="28" t="n">
        <v>45517</v>
      </c>
      <c r="C160" s="8" t="s">
        <v>1</v>
      </c>
      <c r="D160" s="5" t="n">
        <v>246.6</v>
      </c>
      <c r="E160" s="5" t="n">
        <v>250</v>
      </c>
      <c r="F160" s="5" t="n">
        <v>241</v>
      </c>
      <c r="G160" s="5" t="n">
        <v>244.1</v>
      </c>
      <c r="H160" s="5" t="n">
        <v>246.6</v>
      </c>
      <c r="I160" s="5" t="n">
        <v>248</v>
      </c>
      <c r="K160" s="29" t="n">
        <v>3.641</v>
      </c>
      <c r="L160" s="30" t="n">
        <v>14764</v>
      </c>
    </row>
    <row r="161" customFormat="false" ht="15" hidden="false" customHeight="true" outlineLevel="0" collapsed="false">
      <c r="A161" s="8" t="n">
        <v>159</v>
      </c>
      <c r="B161" s="28" t="n">
        <v>45516</v>
      </c>
      <c r="C161" s="8" t="s">
        <v>1</v>
      </c>
      <c r="D161" s="5" t="n">
        <v>248</v>
      </c>
      <c r="E161" s="5" t="n">
        <v>258.8</v>
      </c>
      <c r="F161" s="5" t="n">
        <v>248</v>
      </c>
      <c r="G161" s="5" t="n">
        <v>255.6</v>
      </c>
      <c r="H161" s="5" t="n">
        <v>248</v>
      </c>
      <c r="I161" s="5" t="n">
        <v>255.6</v>
      </c>
      <c r="K161" s="29" t="n">
        <v>6.952</v>
      </c>
      <c r="L161" s="30" t="n">
        <v>28034</v>
      </c>
    </row>
    <row r="162" customFormat="false" ht="15" hidden="false" customHeight="true" outlineLevel="0" collapsed="false">
      <c r="A162" s="8" t="n">
        <v>160</v>
      </c>
      <c r="B162" s="28" t="n">
        <v>45515</v>
      </c>
      <c r="C162" s="8" t="s">
        <v>1</v>
      </c>
      <c r="D162" s="5" t="n">
        <v>255.6</v>
      </c>
      <c r="E162" s="5" t="n">
        <v>265.5</v>
      </c>
      <c r="F162" s="5" t="n">
        <v>255.5</v>
      </c>
      <c r="G162" s="5" t="n">
        <v>260</v>
      </c>
      <c r="H162" s="5" t="n">
        <v>255.6</v>
      </c>
      <c r="I162" s="5" t="n">
        <v>263.3</v>
      </c>
      <c r="K162" s="29" t="n">
        <v>18.63</v>
      </c>
      <c r="L162" s="30" t="n">
        <v>72887</v>
      </c>
    </row>
    <row r="163" customFormat="false" ht="15" hidden="false" customHeight="true" outlineLevel="0" collapsed="false">
      <c r="A163" s="8" t="n">
        <v>161</v>
      </c>
      <c r="B163" s="28" t="n">
        <v>45512</v>
      </c>
      <c r="C163" s="8" t="s">
        <v>1</v>
      </c>
      <c r="D163" s="5" t="n">
        <v>263.3</v>
      </c>
      <c r="E163" s="5" t="n">
        <v>269.1</v>
      </c>
      <c r="F163" s="5" t="n">
        <v>244</v>
      </c>
      <c r="G163" s="5" t="n">
        <v>255</v>
      </c>
      <c r="H163" s="5" t="n">
        <v>263.3</v>
      </c>
      <c r="I163" s="5" t="n">
        <v>247.5</v>
      </c>
      <c r="K163" s="29" t="n">
        <v>32.172</v>
      </c>
      <c r="L163" s="30" t="n">
        <v>122188</v>
      </c>
    </row>
    <row r="164" customFormat="false" ht="15" hidden="false" customHeight="true" outlineLevel="0" collapsed="false">
      <c r="A164" s="8" t="n">
        <v>162</v>
      </c>
      <c r="B164" s="28" t="n">
        <v>45511</v>
      </c>
      <c r="C164" s="8" t="s">
        <v>1</v>
      </c>
      <c r="D164" s="5" t="n">
        <v>247.5</v>
      </c>
      <c r="E164" s="5" t="n">
        <v>250</v>
      </c>
      <c r="F164" s="5" t="n">
        <v>231.9</v>
      </c>
      <c r="G164" s="5" t="n">
        <v>240</v>
      </c>
      <c r="H164" s="5" t="n">
        <v>247.5</v>
      </c>
      <c r="I164" s="5" t="n">
        <v>237.3</v>
      </c>
      <c r="K164" s="29" t="n">
        <v>9.487</v>
      </c>
      <c r="L164" s="30" t="n">
        <v>38333</v>
      </c>
    </row>
    <row r="165" customFormat="false" ht="15" hidden="false" customHeight="true" outlineLevel="0" collapsed="false">
      <c r="A165" s="8" t="n">
        <v>163</v>
      </c>
      <c r="B165" s="28" t="n">
        <v>45510</v>
      </c>
      <c r="C165" s="8" t="s">
        <v>1</v>
      </c>
      <c r="D165" s="5" t="n">
        <v>237.3</v>
      </c>
      <c r="E165" s="5" t="n">
        <v>242.6</v>
      </c>
      <c r="F165" s="5" t="n">
        <v>230.3</v>
      </c>
      <c r="G165" s="5" t="n">
        <v>237.9</v>
      </c>
      <c r="H165" s="5" t="n">
        <v>237.3</v>
      </c>
      <c r="I165" s="5" t="n">
        <v>223.1</v>
      </c>
      <c r="K165" s="29" t="n">
        <v>5.726</v>
      </c>
      <c r="L165" s="30" t="n">
        <v>24130</v>
      </c>
    </row>
    <row r="166" customFormat="false" ht="15" hidden="false" customHeight="true" outlineLevel="0" collapsed="false">
      <c r="A166" s="8" t="n">
        <v>164</v>
      </c>
      <c r="B166" s="28" t="n">
        <v>45508</v>
      </c>
      <c r="C166" s="8" t="s">
        <v>1</v>
      </c>
      <c r="D166" s="5" t="n">
        <v>223.1</v>
      </c>
      <c r="E166" s="5" t="n">
        <v>223.8</v>
      </c>
      <c r="F166" s="5" t="n">
        <v>223.1</v>
      </c>
      <c r="G166" s="5" t="n">
        <v>223.8</v>
      </c>
      <c r="H166" s="5" t="n">
        <v>223.1</v>
      </c>
      <c r="I166" s="5" t="n">
        <v>229.9</v>
      </c>
      <c r="K166" s="29" t="n">
        <v>1.564</v>
      </c>
      <c r="L166" s="30" t="n">
        <v>7010</v>
      </c>
    </row>
    <row r="167" customFormat="false" ht="15" hidden="false" customHeight="true" outlineLevel="0" collapsed="false">
      <c r="A167" s="8" t="n">
        <v>165</v>
      </c>
      <c r="B167" s="28" t="n">
        <v>45505</v>
      </c>
      <c r="C167" s="8" t="s">
        <v>1</v>
      </c>
      <c r="D167" s="5" t="n">
        <v>229.9</v>
      </c>
      <c r="E167" s="5" t="n">
        <v>233</v>
      </c>
      <c r="F167" s="5" t="n">
        <v>225</v>
      </c>
      <c r="G167" s="5" t="n">
        <v>232.8</v>
      </c>
      <c r="H167" s="5" t="n">
        <v>229.9</v>
      </c>
      <c r="I167" s="5" t="n">
        <v>228</v>
      </c>
      <c r="K167" s="29" t="n">
        <v>5.26</v>
      </c>
      <c r="L167" s="30" t="n">
        <v>22880</v>
      </c>
    </row>
    <row r="168" customFormat="false" ht="15" hidden="false" customHeight="true" outlineLevel="0" collapsed="false">
      <c r="A168" s="8" t="n">
        <v>166</v>
      </c>
      <c r="B168" s="28" t="n">
        <v>45504</v>
      </c>
      <c r="C168" s="8" t="s">
        <v>1</v>
      </c>
      <c r="D168" s="5" t="n">
        <v>228</v>
      </c>
      <c r="E168" s="5" t="n">
        <v>232</v>
      </c>
      <c r="F168" s="5" t="n">
        <v>224</v>
      </c>
      <c r="G168" s="5" t="n">
        <v>224</v>
      </c>
      <c r="H168" s="5" t="n">
        <v>228</v>
      </c>
      <c r="I168" s="5" t="n">
        <v>226.7</v>
      </c>
      <c r="K168" s="29" t="n">
        <v>1.729</v>
      </c>
      <c r="L168" s="30" t="n">
        <v>7583</v>
      </c>
    </row>
    <row r="169" customFormat="false" ht="15" hidden="false" customHeight="true" outlineLevel="0" collapsed="false">
      <c r="A169" s="8" t="n">
        <v>167</v>
      </c>
      <c r="B169" s="28" t="n">
        <v>45503</v>
      </c>
      <c r="C169" s="8" t="s">
        <v>1</v>
      </c>
      <c r="D169" s="5" t="n">
        <v>226.7</v>
      </c>
      <c r="E169" s="5" t="n">
        <v>228</v>
      </c>
      <c r="F169" s="5" t="n">
        <v>226.5</v>
      </c>
      <c r="G169" s="5" t="n">
        <v>228</v>
      </c>
      <c r="H169" s="5" t="n">
        <v>226.7</v>
      </c>
      <c r="I169" s="5" t="n">
        <v>231.5</v>
      </c>
      <c r="K169" s="29" t="n">
        <v>2.192</v>
      </c>
      <c r="L169" s="30" t="n">
        <v>9669</v>
      </c>
    </row>
    <row r="170" customFormat="false" ht="15" hidden="false" customHeight="true" outlineLevel="0" collapsed="false">
      <c r="A170" s="8" t="n">
        <v>168</v>
      </c>
      <c r="B170" s="28" t="n">
        <v>45502</v>
      </c>
      <c r="C170" s="8" t="s">
        <v>1</v>
      </c>
      <c r="D170" s="5" t="n">
        <v>231.5</v>
      </c>
      <c r="E170" s="5" t="n">
        <v>233.9</v>
      </c>
      <c r="F170" s="5" t="n">
        <v>228</v>
      </c>
      <c r="G170" s="5" t="n">
        <v>233.9</v>
      </c>
      <c r="H170" s="5" t="n">
        <v>231.5</v>
      </c>
      <c r="I170" s="5" t="n">
        <v>231</v>
      </c>
      <c r="K170" s="29" t="n">
        <v>3.748</v>
      </c>
      <c r="L170" s="30" t="n">
        <v>16188</v>
      </c>
    </row>
    <row r="171" customFormat="false" ht="15" hidden="false" customHeight="true" outlineLevel="0" collapsed="false">
      <c r="A171" s="8" t="n">
        <v>169</v>
      </c>
      <c r="B171" s="28" t="n">
        <v>45501</v>
      </c>
      <c r="C171" s="8" t="s">
        <v>1</v>
      </c>
      <c r="D171" s="5" t="n">
        <v>231</v>
      </c>
      <c r="E171" s="5" t="n">
        <v>232.1</v>
      </c>
      <c r="F171" s="5" t="n">
        <v>227</v>
      </c>
      <c r="G171" s="5" t="n">
        <v>231.5</v>
      </c>
      <c r="H171" s="5" t="n">
        <v>231</v>
      </c>
      <c r="I171" s="5" t="n">
        <v>232</v>
      </c>
      <c r="K171" s="29" t="n">
        <v>3.695</v>
      </c>
      <c r="L171" s="30" t="n">
        <v>15994</v>
      </c>
    </row>
    <row r="172" customFormat="false" ht="15" hidden="false" customHeight="true" outlineLevel="0" collapsed="false">
      <c r="A172" s="8" t="n">
        <v>170</v>
      </c>
      <c r="B172" s="28" t="n">
        <v>45498</v>
      </c>
      <c r="C172" s="8" t="s">
        <v>1</v>
      </c>
      <c r="D172" s="5" t="n">
        <v>232</v>
      </c>
      <c r="E172" s="5" t="n">
        <v>234.5</v>
      </c>
      <c r="F172" s="5" t="n">
        <v>224</v>
      </c>
      <c r="G172" s="5" t="n">
        <v>225</v>
      </c>
      <c r="H172" s="5" t="n">
        <v>232</v>
      </c>
      <c r="I172" s="5" t="n">
        <v>230.5</v>
      </c>
      <c r="K172" s="29" t="n">
        <v>1.952</v>
      </c>
      <c r="L172" s="30" t="n">
        <v>8414</v>
      </c>
    </row>
    <row r="173" customFormat="false" ht="15" hidden="false" customHeight="true" outlineLevel="0" collapsed="false">
      <c r="A173" s="8" t="n">
        <v>171</v>
      </c>
      <c r="B173" s="28" t="n">
        <v>45497</v>
      </c>
      <c r="C173" s="8" t="s">
        <v>1</v>
      </c>
      <c r="D173" s="5" t="n">
        <v>230.5</v>
      </c>
      <c r="E173" s="5" t="n">
        <v>231.3</v>
      </c>
      <c r="F173" s="5" t="n">
        <v>230.5</v>
      </c>
      <c r="G173" s="5" t="n">
        <v>231.1</v>
      </c>
      <c r="H173" s="5" t="n">
        <v>230.5</v>
      </c>
      <c r="I173" s="5" t="n">
        <v>237.6</v>
      </c>
      <c r="K173" s="29" t="n">
        <v>2.776</v>
      </c>
      <c r="L173" s="30" t="n">
        <v>12045</v>
      </c>
    </row>
    <row r="174" customFormat="false" ht="15" hidden="false" customHeight="true" outlineLevel="0" collapsed="false">
      <c r="A174" s="8" t="n">
        <v>172</v>
      </c>
      <c r="B174" s="28" t="n">
        <v>45491</v>
      </c>
      <c r="C174" s="8" t="s">
        <v>1</v>
      </c>
      <c r="D174" s="5" t="n">
        <v>237.6</v>
      </c>
      <c r="E174" s="5" t="n">
        <v>241.4</v>
      </c>
      <c r="F174" s="5" t="n">
        <v>236.4</v>
      </c>
      <c r="G174" s="5" t="n">
        <v>240</v>
      </c>
      <c r="H174" s="5" t="n">
        <v>237.6</v>
      </c>
      <c r="I174" s="5" t="n">
        <v>243.7</v>
      </c>
      <c r="K174" s="29" t="n">
        <v>2.709</v>
      </c>
      <c r="L174" s="30" t="n">
        <v>11403</v>
      </c>
    </row>
    <row r="175" customFormat="false" ht="15" hidden="false" customHeight="true" outlineLevel="0" collapsed="false">
      <c r="A175" s="8" t="n">
        <v>173</v>
      </c>
      <c r="B175" s="28" t="n">
        <v>45489</v>
      </c>
      <c r="C175" s="8" t="s">
        <v>1</v>
      </c>
      <c r="D175" s="5" t="n">
        <v>243.7</v>
      </c>
      <c r="E175" s="5" t="n">
        <v>246.7</v>
      </c>
      <c r="F175" s="5" t="n">
        <v>235.2</v>
      </c>
      <c r="G175" s="5" t="n">
        <v>236.9</v>
      </c>
      <c r="H175" s="5" t="n">
        <v>243.7</v>
      </c>
      <c r="I175" s="5" t="n">
        <v>236.8</v>
      </c>
      <c r="K175" s="29" t="n">
        <v>7.199</v>
      </c>
      <c r="L175" s="30" t="n">
        <v>29541</v>
      </c>
    </row>
    <row r="176" customFormat="false" ht="15" hidden="false" customHeight="true" outlineLevel="0" collapsed="false">
      <c r="A176" s="8" t="n">
        <v>174</v>
      </c>
      <c r="B176" s="28" t="n">
        <v>45488</v>
      </c>
      <c r="C176" s="8" t="s">
        <v>1</v>
      </c>
      <c r="D176" s="5" t="n">
        <v>236.8</v>
      </c>
      <c r="E176" s="5" t="n">
        <v>238</v>
      </c>
      <c r="F176" s="5" t="n">
        <v>230.3</v>
      </c>
      <c r="G176" s="5" t="n">
        <v>237.9</v>
      </c>
      <c r="H176" s="5" t="n">
        <v>236.8</v>
      </c>
      <c r="I176" s="5" t="n">
        <v>232.1</v>
      </c>
      <c r="K176" s="29" t="n">
        <v>3.28</v>
      </c>
      <c r="L176" s="30" t="n">
        <v>13853</v>
      </c>
    </row>
    <row r="177" customFormat="false" ht="15" hidden="false" customHeight="true" outlineLevel="0" collapsed="false">
      <c r="A177" s="8" t="n">
        <v>175</v>
      </c>
      <c r="B177" s="28" t="n">
        <v>45487</v>
      </c>
      <c r="C177" s="8" t="s">
        <v>1</v>
      </c>
      <c r="D177" s="5" t="n">
        <v>232.1</v>
      </c>
      <c r="E177" s="5" t="n">
        <v>238.5</v>
      </c>
      <c r="F177" s="5" t="n">
        <v>229.1</v>
      </c>
      <c r="G177" s="5" t="n">
        <v>238.5</v>
      </c>
      <c r="H177" s="5" t="n">
        <v>232.1</v>
      </c>
      <c r="I177" s="5" t="n">
        <v>232.8</v>
      </c>
      <c r="K177" s="29" t="n">
        <v>3.494</v>
      </c>
      <c r="L177" s="30" t="n">
        <v>15055</v>
      </c>
    </row>
    <row r="178" customFormat="false" ht="15" hidden="false" customHeight="true" outlineLevel="0" collapsed="false">
      <c r="A178" s="8" t="n">
        <v>176</v>
      </c>
      <c r="B178" s="28" t="n">
        <v>45484</v>
      </c>
      <c r="C178" s="8" t="s">
        <v>1</v>
      </c>
      <c r="D178" s="5" t="n">
        <v>232.8</v>
      </c>
      <c r="E178" s="5" t="n">
        <v>244</v>
      </c>
      <c r="F178" s="5" t="n">
        <v>232</v>
      </c>
      <c r="G178" s="5" t="n">
        <v>244</v>
      </c>
      <c r="H178" s="5" t="n">
        <v>232.8</v>
      </c>
      <c r="I178" s="5" t="n">
        <v>238.6</v>
      </c>
      <c r="K178" s="29" t="n">
        <v>3.715</v>
      </c>
      <c r="L178" s="30" t="n">
        <v>15958</v>
      </c>
    </row>
    <row r="179" customFormat="false" ht="15" hidden="false" customHeight="true" outlineLevel="0" collapsed="false">
      <c r="A179" s="8" t="n">
        <v>177</v>
      </c>
      <c r="B179" s="28" t="n">
        <v>45483</v>
      </c>
      <c r="C179" s="8" t="s">
        <v>1</v>
      </c>
      <c r="D179" s="5" t="n">
        <v>238.6</v>
      </c>
      <c r="E179" s="5" t="n">
        <v>244</v>
      </c>
      <c r="F179" s="5" t="n">
        <v>237.5</v>
      </c>
      <c r="G179" s="5" t="n">
        <v>244</v>
      </c>
      <c r="H179" s="5" t="n">
        <v>238.6</v>
      </c>
      <c r="I179" s="5" t="n">
        <v>238.5</v>
      </c>
      <c r="K179" s="29" t="n">
        <v>11.16</v>
      </c>
      <c r="L179" s="30" t="n">
        <v>46773</v>
      </c>
    </row>
    <row r="180" customFormat="false" ht="15" hidden="false" customHeight="true" outlineLevel="0" collapsed="false">
      <c r="A180" s="8" t="n">
        <v>178</v>
      </c>
      <c r="B180" s="28" t="n">
        <v>45482</v>
      </c>
      <c r="C180" s="8" t="s">
        <v>1</v>
      </c>
      <c r="D180" s="5" t="n">
        <v>238.5</v>
      </c>
      <c r="E180" s="5" t="n">
        <v>243</v>
      </c>
      <c r="F180" s="5" t="n">
        <v>237.7</v>
      </c>
      <c r="G180" s="5" t="n">
        <v>241</v>
      </c>
      <c r="H180" s="5" t="n">
        <v>238.5</v>
      </c>
      <c r="I180" s="5" t="n">
        <v>241.4</v>
      </c>
      <c r="K180" s="29" t="n">
        <v>14.407</v>
      </c>
      <c r="L180" s="30" t="n">
        <v>60405</v>
      </c>
    </row>
    <row r="181" customFormat="false" ht="15" hidden="false" customHeight="true" outlineLevel="0" collapsed="false">
      <c r="A181" s="8" t="n">
        <v>179</v>
      </c>
      <c r="B181" s="28" t="n">
        <v>45481</v>
      </c>
      <c r="C181" s="8" t="s">
        <v>1</v>
      </c>
      <c r="D181" s="5" t="n">
        <v>241.4</v>
      </c>
      <c r="E181" s="5" t="n">
        <v>246.2</v>
      </c>
      <c r="F181" s="5" t="n">
        <v>240.4</v>
      </c>
      <c r="G181" s="5" t="n">
        <v>245.6</v>
      </c>
      <c r="H181" s="5" t="n">
        <v>241.4</v>
      </c>
      <c r="I181" s="5" t="n">
        <v>246</v>
      </c>
      <c r="K181" s="29" t="n">
        <v>6.125</v>
      </c>
      <c r="L181" s="30" t="n">
        <v>25373</v>
      </c>
    </row>
    <row r="182" customFormat="false" ht="15" hidden="false" customHeight="true" outlineLevel="0" collapsed="false">
      <c r="A182" s="8" t="n">
        <v>180</v>
      </c>
      <c r="B182" s="28" t="n">
        <v>45480</v>
      </c>
      <c r="C182" s="8" t="s">
        <v>1</v>
      </c>
      <c r="D182" s="5" t="n">
        <v>246</v>
      </c>
      <c r="E182" s="5" t="n">
        <v>254.9</v>
      </c>
      <c r="F182" s="5" t="n">
        <v>244.5</v>
      </c>
      <c r="G182" s="5" t="n">
        <v>250</v>
      </c>
      <c r="H182" s="5" t="n">
        <v>246</v>
      </c>
      <c r="I182" s="5" t="n">
        <v>247.7</v>
      </c>
      <c r="K182" s="29" t="n">
        <v>15.36</v>
      </c>
      <c r="L182" s="30" t="n">
        <v>62439</v>
      </c>
    </row>
    <row r="183" customFormat="false" ht="15" hidden="false" customHeight="true" outlineLevel="0" collapsed="false">
      <c r="A183" s="8" t="n">
        <v>181</v>
      </c>
      <c r="B183" s="28" t="n">
        <v>45477</v>
      </c>
      <c r="C183" s="8" t="s">
        <v>1</v>
      </c>
      <c r="D183" s="5" t="n">
        <v>247.7</v>
      </c>
      <c r="E183" s="5" t="n">
        <v>249.8</v>
      </c>
      <c r="F183" s="5" t="n">
        <v>243.8</v>
      </c>
      <c r="G183" s="5" t="n">
        <v>249.8</v>
      </c>
      <c r="H183" s="5" t="n">
        <v>247.7</v>
      </c>
      <c r="I183" s="5" t="n">
        <v>247.2</v>
      </c>
      <c r="K183" s="29" t="n">
        <v>12.651</v>
      </c>
      <c r="L183" s="30" t="n">
        <v>51072</v>
      </c>
    </row>
    <row r="184" customFormat="false" ht="15" hidden="false" customHeight="true" outlineLevel="0" collapsed="false">
      <c r="A184" s="8" t="n">
        <v>182</v>
      </c>
      <c r="B184" s="28" t="n">
        <v>45476</v>
      </c>
      <c r="C184" s="8" t="s">
        <v>1</v>
      </c>
      <c r="D184" s="5" t="n">
        <v>247.2</v>
      </c>
      <c r="E184" s="5" t="n">
        <v>248</v>
      </c>
      <c r="F184" s="5" t="n">
        <v>232.1</v>
      </c>
      <c r="G184" s="5" t="n">
        <v>232.1</v>
      </c>
      <c r="H184" s="5" t="n">
        <v>247.2</v>
      </c>
      <c r="I184" s="5" t="n">
        <v>236.1</v>
      </c>
      <c r="K184" s="29" t="n">
        <v>9.126</v>
      </c>
      <c r="L184" s="30" t="n">
        <v>36916</v>
      </c>
    </row>
    <row r="185" customFormat="false" ht="15" hidden="false" customHeight="true" outlineLevel="0" collapsed="false">
      <c r="A185" s="8" t="n">
        <v>183</v>
      </c>
      <c r="B185" s="28" t="n">
        <v>45475</v>
      </c>
      <c r="C185" s="8" t="s">
        <v>1</v>
      </c>
      <c r="D185" s="5" t="n">
        <v>236.1</v>
      </c>
      <c r="E185" s="5" t="n">
        <v>240.1</v>
      </c>
      <c r="F185" s="5" t="n">
        <v>235</v>
      </c>
      <c r="G185" s="5" t="n">
        <v>239.9</v>
      </c>
      <c r="H185" s="5" t="n">
        <v>236.1</v>
      </c>
      <c r="I185" s="5" t="n">
        <v>238.9</v>
      </c>
      <c r="K185" s="29" t="n">
        <v>3.139</v>
      </c>
      <c r="L185" s="30" t="n">
        <v>13296</v>
      </c>
    </row>
    <row r="186" customFormat="false" ht="15" hidden="false" customHeight="true" outlineLevel="0" collapsed="false">
      <c r="A186" s="8" t="n">
        <v>184</v>
      </c>
      <c r="B186" s="28" t="n">
        <v>45473</v>
      </c>
      <c r="C186" s="8" t="s">
        <v>1</v>
      </c>
      <c r="D186" s="5" t="n">
        <v>238.9</v>
      </c>
      <c r="E186" s="5" t="n">
        <v>240.8</v>
      </c>
      <c r="F186" s="5" t="n">
        <v>228.3</v>
      </c>
      <c r="G186" s="5" t="n">
        <v>239</v>
      </c>
      <c r="H186" s="5" t="n">
        <v>238.9</v>
      </c>
      <c r="I186" s="5" t="n">
        <v>235.2</v>
      </c>
      <c r="K186" s="29" t="n">
        <v>6.746</v>
      </c>
      <c r="L186" s="30" t="n">
        <v>28238</v>
      </c>
    </row>
    <row r="187" customFormat="false" ht="15" hidden="false" customHeight="true" outlineLevel="0" collapsed="false">
      <c r="A187" s="8" t="n">
        <v>185</v>
      </c>
      <c r="B187" s="28" t="n">
        <v>45470</v>
      </c>
      <c r="C187" s="8" t="s">
        <v>1</v>
      </c>
      <c r="D187" s="5" t="n">
        <v>235.2</v>
      </c>
      <c r="E187" s="5" t="n">
        <v>236.9</v>
      </c>
      <c r="F187" s="5" t="n">
        <v>233.1</v>
      </c>
      <c r="G187" s="5" t="n">
        <v>233.1</v>
      </c>
      <c r="H187" s="5" t="n">
        <v>235.2</v>
      </c>
      <c r="I187" s="5" t="n">
        <v>232.1</v>
      </c>
      <c r="K187" s="29" t="n">
        <v>4.133</v>
      </c>
      <c r="L187" s="30" t="n">
        <v>17573</v>
      </c>
    </row>
    <row r="188" customFormat="false" ht="15" hidden="false" customHeight="true" outlineLevel="0" collapsed="false">
      <c r="A188" s="8" t="n">
        <v>186</v>
      </c>
      <c r="B188" s="28" t="n">
        <v>45469</v>
      </c>
      <c r="C188" s="8" t="s">
        <v>1</v>
      </c>
      <c r="D188" s="5" t="n">
        <v>232.1</v>
      </c>
      <c r="E188" s="5" t="n">
        <v>238</v>
      </c>
      <c r="F188" s="5" t="n">
        <v>224.2</v>
      </c>
      <c r="G188" s="5" t="n">
        <v>225</v>
      </c>
      <c r="H188" s="5" t="n">
        <v>232.1</v>
      </c>
      <c r="I188" s="5" t="n">
        <v>224.9</v>
      </c>
      <c r="K188" s="29" t="n">
        <v>11.382</v>
      </c>
      <c r="L188" s="30" t="n">
        <v>49040</v>
      </c>
    </row>
    <row r="189" customFormat="false" ht="15" hidden="false" customHeight="true" outlineLevel="0" collapsed="false">
      <c r="A189" s="8" t="n">
        <v>187</v>
      </c>
      <c r="B189" s="28" t="n">
        <v>45468</v>
      </c>
      <c r="C189" s="8" t="s">
        <v>1</v>
      </c>
      <c r="D189" s="5" t="n">
        <v>224.9</v>
      </c>
      <c r="E189" s="5" t="n">
        <v>230</v>
      </c>
      <c r="F189" s="5" t="n">
        <v>222.2</v>
      </c>
      <c r="G189" s="5" t="n">
        <v>230</v>
      </c>
      <c r="H189" s="5" t="n">
        <v>224.9</v>
      </c>
      <c r="I189" s="5" t="n">
        <v>229</v>
      </c>
      <c r="K189" s="29" t="n">
        <v>4.656</v>
      </c>
      <c r="L189" s="30" t="n">
        <v>20704</v>
      </c>
    </row>
    <row r="190" customFormat="false" ht="15" hidden="false" customHeight="true" outlineLevel="0" collapsed="false">
      <c r="A190" s="8" t="n">
        <v>188</v>
      </c>
      <c r="B190" s="28" t="n">
        <v>45467</v>
      </c>
      <c r="C190" s="8" t="s">
        <v>1</v>
      </c>
      <c r="D190" s="5" t="n">
        <v>229</v>
      </c>
      <c r="E190" s="5" t="n">
        <v>231.9</v>
      </c>
      <c r="F190" s="5" t="n">
        <v>225</v>
      </c>
      <c r="G190" s="5" t="n">
        <v>225</v>
      </c>
      <c r="H190" s="5" t="n">
        <v>229</v>
      </c>
      <c r="I190" s="5" t="n">
        <v>230</v>
      </c>
      <c r="K190" s="29" t="n">
        <v>3.654</v>
      </c>
      <c r="L190" s="30" t="n">
        <v>15956</v>
      </c>
    </row>
    <row r="191" customFormat="false" ht="15" hidden="false" customHeight="true" outlineLevel="0" collapsed="false">
      <c r="A191" s="8" t="n">
        <v>189</v>
      </c>
      <c r="B191" s="28" t="n">
        <v>45466</v>
      </c>
      <c r="C191" s="8" t="s">
        <v>1</v>
      </c>
      <c r="D191" s="5" t="n">
        <v>230</v>
      </c>
      <c r="E191" s="5" t="n">
        <v>236</v>
      </c>
      <c r="F191" s="5" t="n">
        <v>228</v>
      </c>
      <c r="G191" s="5" t="n">
        <v>232</v>
      </c>
      <c r="H191" s="5" t="n">
        <v>230</v>
      </c>
      <c r="I191" s="5" t="n">
        <v>232.8</v>
      </c>
      <c r="K191" s="29" t="n">
        <v>3.322</v>
      </c>
      <c r="L191" s="30" t="n">
        <v>14444</v>
      </c>
    </row>
    <row r="192" customFormat="false" ht="15" hidden="false" customHeight="true" outlineLevel="0" collapsed="false">
      <c r="A192" s="8" t="n">
        <v>190</v>
      </c>
      <c r="B192" s="28" t="n">
        <v>45463</v>
      </c>
      <c r="C192" s="8" t="s">
        <v>1</v>
      </c>
      <c r="D192" s="5" t="n">
        <v>232.8</v>
      </c>
      <c r="E192" s="5" t="n">
        <v>242</v>
      </c>
      <c r="F192" s="5" t="n">
        <v>225.4</v>
      </c>
      <c r="G192" s="5" t="n">
        <v>228.5</v>
      </c>
      <c r="H192" s="5" t="n">
        <v>232.8</v>
      </c>
      <c r="I192" s="5" t="n">
        <v>225.8</v>
      </c>
      <c r="K192" s="29" t="n">
        <v>8.645</v>
      </c>
      <c r="L192" s="30" t="n">
        <v>37134</v>
      </c>
    </row>
    <row r="193" customFormat="false" ht="15" hidden="false" customHeight="true" outlineLevel="0" collapsed="false">
      <c r="A193" s="8" t="n">
        <v>191</v>
      </c>
      <c r="B193" s="28" t="n">
        <v>45462</v>
      </c>
      <c r="C193" s="8" t="s">
        <v>1</v>
      </c>
      <c r="D193" s="5" t="n">
        <v>225.8</v>
      </c>
      <c r="E193" s="5" t="n">
        <v>226.9</v>
      </c>
      <c r="F193" s="5" t="n">
        <v>221.1</v>
      </c>
      <c r="G193" s="5" t="n">
        <v>224.2</v>
      </c>
      <c r="H193" s="5" t="n">
        <v>225.8</v>
      </c>
      <c r="I193" s="5" t="n">
        <v>222.6</v>
      </c>
      <c r="K193" s="29" t="n">
        <v>1.724</v>
      </c>
      <c r="L193" s="30" t="n">
        <v>7635</v>
      </c>
    </row>
    <row r="194" customFormat="false" ht="15" hidden="false" customHeight="true" outlineLevel="0" collapsed="false">
      <c r="A194" s="8" t="n">
        <v>192</v>
      </c>
      <c r="B194" s="28" t="n">
        <v>45456</v>
      </c>
      <c r="C194" s="8" t="s">
        <v>1</v>
      </c>
      <c r="D194" s="5" t="n">
        <v>222.6</v>
      </c>
      <c r="E194" s="5" t="n">
        <v>225</v>
      </c>
      <c r="F194" s="5" t="n">
        <v>221.7</v>
      </c>
      <c r="G194" s="5" t="n">
        <v>222</v>
      </c>
      <c r="H194" s="5" t="n">
        <v>222.6</v>
      </c>
      <c r="I194" s="5" t="n">
        <v>221.9</v>
      </c>
      <c r="K194" s="29" t="n">
        <v>3.826</v>
      </c>
      <c r="L194" s="30" t="n">
        <v>17187</v>
      </c>
    </row>
    <row r="195" customFormat="false" ht="15" hidden="false" customHeight="true" outlineLevel="0" collapsed="false">
      <c r="A195" s="8" t="n">
        <v>193</v>
      </c>
      <c r="B195" s="28" t="n">
        <v>45455</v>
      </c>
      <c r="C195" s="8" t="s">
        <v>1</v>
      </c>
      <c r="D195" s="5" t="n">
        <v>221.9</v>
      </c>
      <c r="E195" s="5" t="n">
        <v>227.6</v>
      </c>
      <c r="F195" s="5" t="n">
        <v>216.9</v>
      </c>
      <c r="G195" s="5" t="n">
        <v>216.9</v>
      </c>
      <c r="H195" s="5" t="n">
        <v>221.9</v>
      </c>
      <c r="I195" s="5" t="n">
        <v>222.8</v>
      </c>
      <c r="K195" s="29" t="n">
        <v>8.058</v>
      </c>
      <c r="L195" s="30" t="n">
        <v>36313</v>
      </c>
    </row>
    <row r="196" customFormat="false" ht="15" hidden="false" customHeight="true" outlineLevel="0" collapsed="false">
      <c r="A196" s="8" t="n">
        <v>194</v>
      </c>
      <c r="B196" s="28" t="n">
        <v>45454</v>
      </c>
      <c r="C196" s="8" t="s">
        <v>1</v>
      </c>
      <c r="D196" s="5" t="n">
        <v>222.8</v>
      </c>
      <c r="E196" s="5" t="n">
        <v>231</v>
      </c>
      <c r="F196" s="5" t="n">
        <v>219.2</v>
      </c>
      <c r="G196" s="5" t="n">
        <v>225</v>
      </c>
      <c r="H196" s="5" t="n">
        <v>222.8</v>
      </c>
      <c r="I196" s="5" t="n">
        <v>225.9</v>
      </c>
      <c r="K196" s="29" t="n">
        <v>6.654</v>
      </c>
      <c r="L196" s="30" t="n">
        <v>29865</v>
      </c>
    </row>
    <row r="197" customFormat="false" ht="15" hidden="false" customHeight="true" outlineLevel="0" collapsed="false">
      <c r="A197" s="8" t="n">
        <v>195</v>
      </c>
      <c r="B197" s="28" t="n">
        <v>45453</v>
      </c>
      <c r="C197" s="8" t="s">
        <v>1</v>
      </c>
      <c r="D197" s="5" t="n">
        <v>225.9</v>
      </c>
      <c r="E197" s="5" t="n">
        <v>233</v>
      </c>
      <c r="F197" s="5" t="n">
        <v>223.6</v>
      </c>
      <c r="G197" s="5" t="n">
        <v>224.6</v>
      </c>
      <c r="H197" s="5" t="n">
        <v>225.9</v>
      </c>
      <c r="I197" s="5" t="n">
        <v>230.5</v>
      </c>
      <c r="K197" s="29" t="n">
        <v>5.287</v>
      </c>
      <c r="L197" s="30" t="n">
        <v>23406</v>
      </c>
    </row>
    <row r="198" customFormat="false" ht="15" hidden="false" customHeight="true" outlineLevel="0" collapsed="false">
      <c r="A198" s="8" t="n">
        <v>196</v>
      </c>
      <c r="B198" s="28" t="n">
        <v>45452</v>
      </c>
      <c r="C198" s="8" t="s">
        <v>1</v>
      </c>
      <c r="D198" s="5" t="n">
        <v>230.5</v>
      </c>
      <c r="E198" s="5" t="n">
        <v>243.2</v>
      </c>
      <c r="F198" s="5" t="n">
        <v>229</v>
      </c>
      <c r="G198" s="5" t="n">
        <v>236</v>
      </c>
      <c r="H198" s="5" t="n">
        <v>230.5</v>
      </c>
      <c r="I198" s="5" t="n">
        <v>234.3</v>
      </c>
      <c r="K198" s="29" t="n">
        <v>6.049</v>
      </c>
      <c r="L198" s="30" t="n">
        <v>26244</v>
      </c>
    </row>
    <row r="199" customFormat="false" ht="15" hidden="false" customHeight="true" outlineLevel="0" collapsed="false">
      <c r="A199" s="8" t="n">
        <v>197</v>
      </c>
      <c r="B199" s="28" t="n">
        <v>45449</v>
      </c>
      <c r="C199" s="8" t="s">
        <v>1</v>
      </c>
      <c r="D199" s="5" t="n">
        <v>234.3</v>
      </c>
      <c r="E199" s="5" t="n">
        <v>234.3</v>
      </c>
      <c r="F199" s="5" t="n">
        <v>218.1</v>
      </c>
      <c r="G199" s="5" t="n">
        <v>220</v>
      </c>
      <c r="H199" s="5" t="n">
        <v>234.3</v>
      </c>
      <c r="I199" s="5" t="n">
        <v>215.5</v>
      </c>
      <c r="K199" s="29" t="n">
        <v>16.155</v>
      </c>
      <c r="L199" s="30" t="n">
        <v>68949</v>
      </c>
    </row>
    <row r="200" customFormat="false" ht="15" hidden="false" customHeight="true" outlineLevel="0" collapsed="false">
      <c r="A200" s="8" t="n">
        <v>198</v>
      </c>
      <c r="B200" s="28" t="n">
        <v>45448</v>
      </c>
      <c r="C200" s="8" t="s">
        <v>1</v>
      </c>
      <c r="D200" s="5" t="n">
        <v>215.5</v>
      </c>
      <c r="E200" s="5" t="n">
        <v>218.7</v>
      </c>
      <c r="F200" s="5" t="n">
        <v>214.7</v>
      </c>
      <c r="G200" s="5" t="n">
        <v>218.7</v>
      </c>
      <c r="H200" s="5" t="n">
        <v>215.5</v>
      </c>
      <c r="I200" s="5" t="n">
        <v>214.9</v>
      </c>
      <c r="K200" s="29" t="n">
        <v>0.974</v>
      </c>
      <c r="L200" s="30" t="n">
        <v>4522</v>
      </c>
    </row>
    <row r="201" customFormat="false" ht="15" hidden="false" customHeight="true" outlineLevel="0" collapsed="false">
      <c r="A201" s="8" t="n">
        <v>199</v>
      </c>
      <c r="B201" s="28" t="n">
        <v>45447</v>
      </c>
      <c r="C201" s="8" t="s">
        <v>1</v>
      </c>
      <c r="D201" s="5" t="n">
        <v>214.9</v>
      </c>
      <c r="E201" s="5" t="n">
        <v>218.9</v>
      </c>
      <c r="F201" s="5" t="n">
        <v>213.2</v>
      </c>
      <c r="G201" s="5" t="n">
        <v>215</v>
      </c>
      <c r="H201" s="5" t="n">
        <v>214.9</v>
      </c>
      <c r="I201" s="5" t="n">
        <v>212.2</v>
      </c>
      <c r="K201" s="29" t="n">
        <v>1.047</v>
      </c>
      <c r="L201" s="30" t="n">
        <v>4874</v>
      </c>
    </row>
    <row r="202" customFormat="false" ht="15" hidden="false" customHeight="true" outlineLevel="0" collapsed="false">
      <c r="A202" s="8" t="n">
        <v>200</v>
      </c>
      <c r="B202" s="28" t="n">
        <v>45446</v>
      </c>
      <c r="C202" s="8" t="s">
        <v>1</v>
      </c>
      <c r="D202" s="5" t="n">
        <v>212.2</v>
      </c>
      <c r="E202" s="5" t="n">
        <v>215</v>
      </c>
      <c r="F202" s="5" t="n">
        <v>211</v>
      </c>
      <c r="G202" s="5" t="n">
        <v>213</v>
      </c>
      <c r="H202" s="5" t="n">
        <v>212.2</v>
      </c>
      <c r="I202" s="5" t="n">
        <v>214.9</v>
      </c>
      <c r="K202" s="29" t="n">
        <v>2.774</v>
      </c>
      <c r="L202" s="30" t="n">
        <v>13074</v>
      </c>
    </row>
    <row r="203" customFormat="false" ht="15" hidden="false" customHeight="true" outlineLevel="0" collapsed="false">
      <c r="A203" s="8" t="n">
        <v>201</v>
      </c>
      <c r="B203" s="28" t="n">
        <v>45445</v>
      </c>
      <c r="C203" s="8" t="s">
        <v>1</v>
      </c>
      <c r="D203" s="5" t="n">
        <v>214.9</v>
      </c>
      <c r="E203" s="5" t="n">
        <v>221</v>
      </c>
      <c r="F203" s="5" t="n">
        <v>211</v>
      </c>
      <c r="G203" s="5" t="n">
        <v>215</v>
      </c>
      <c r="H203" s="5" t="n">
        <v>214.9</v>
      </c>
      <c r="I203" s="5" t="n">
        <v>214.4</v>
      </c>
      <c r="K203" s="29" t="n">
        <v>2.582</v>
      </c>
      <c r="L203" s="30" t="n">
        <v>12016</v>
      </c>
    </row>
    <row r="204" customFormat="false" ht="15" hidden="false" customHeight="true" outlineLevel="0" collapsed="false">
      <c r="A204" s="8" t="n">
        <v>202</v>
      </c>
      <c r="B204" s="28" t="n">
        <v>45442</v>
      </c>
      <c r="C204" s="8" t="s">
        <v>1</v>
      </c>
      <c r="D204" s="5" t="n">
        <v>214.4</v>
      </c>
      <c r="E204" s="5" t="n">
        <v>221</v>
      </c>
      <c r="F204" s="5" t="n">
        <v>212</v>
      </c>
      <c r="G204" s="5" t="n">
        <v>215</v>
      </c>
      <c r="H204" s="5" t="n">
        <v>214.4</v>
      </c>
      <c r="I204" s="5" t="n">
        <v>215.6</v>
      </c>
      <c r="K204" s="29" t="n">
        <v>1.57</v>
      </c>
      <c r="L204" s="30" t="n">
        <v>7324</v>
      </c>
    </row>
    <row r="205" customFormat="false" ht="15" hidden="false" customHeight="true" outlineLevel="0" collapsed="false">
      <c r="A205" s="8" t="n">
        <v>203</v>
      </c>
      <c r="B205" s="28" t="n">
        <v>45441</v>
      </c>
      <c r="C205" s="8" t="s">
        <v>1</v>
      </c>
      <c r="D205" s="5" t="n">
        <v>215.6</v>
      </c>
      <c r="E205" s="5" t="n">
        <v>223.5</v>
      </c>
      <c r="F205" s="5" t="n">
        <v>214</v>
      </c>
      <c r="G205" s="5" t="n">
        <v>223.5</v>
      </c>
      <c r="H205" s="5" t="n">
        <v>215.6</v>
      </c>
      <c r="I205" s="5" t="n">
        <v>219.3</v>
      </c>
      <c r="K205" s="29" t="n">
        <v>0.967</v>
      </c>
      <c r="L205" s="30" t="n">
        <v>4487</v>
      </c>
    </row>
    <row r="206" customFormat="false" ht="15" hidden="false" customHeight="true" outlineLevel="0" collapsed="false">
      <c r="A206" s="8" t="n">
        <v>204</v>
      </c>
      <c r="B206" s="28" t="n">
        <v>45440</v>
      </c>
      <c r="C206" s="8" t="s">
        <v>1</v>
      </c>
      <c r="D206" s="5" t="n">
        <v>219.3</v>
      </c>
      <c r="E206" s="5" t="n">
        <v>227.9</v>
      </c>
      <c r="F206" s="5" t="n">
        <v>218.3</v>
      </c>
      <c r="G206" s="5" t="n">
        <v>227.9</v>
      </c>
      <c r="H206" s="5" t="n">
        <v>219.3</v>
      </c>
      <c r="I206" s="5" t="n">
        <v>219.9</v>
      </c>
      <c r="K206" s="29" t="n">
        <v>0.472</v>
      </c>
      <c r="L206" s="30" t="n">
        <v>2151</v>
      </c>
    </row>
    <row r="207" customFormat="false" ht="15" hidden="false" customHeight="true" outlineLevel="0" collapsed="false">
      <c r="A207" s="8" t="n">
        <v>205</v>
      </c>
      <c r="B207" s="28" t="n">
        <v>45439</v>
      </c>
      <c r="C207" s="8" t="s">
        <v>1</v>
      </c>
      <c r="D207" s="5" t="n">
        <v>219.9</v>
      </c>
      <c r="E207" s="5" t="n">
        <v>220</v>
      </c>
      <c r="F207" s="5" t="n">
        <v>214</v>
      </c>
      <c r="G207" s="5" t="n">
        <v>218.1</v>
      </c>
      <c r="H207" s="5" t="n">
        <v>219.9</v>
      </c>
      <c r="I207" s="5" t="n">
        <v>219.3</v>
      </c>
      <c r="K207" s="29" t="n">
        <v>1.191</v>
      </c>
      <c r="L207" s="30" t="n">
        <v>5415</v>
      </c>
    </row>
    <row r="208" customFormat="false" ht="15" hidden="false" customHeight="true" outlineLevel="0" collapsed="false">
      <c r="A208" s="8" t="n">
        <v>206</v>
      </c>
      <c r="B208" s="28" t="n">
        <v>45438</v>
      </c>
      <c r="C208" s="8" t="s">
        <v>1</v>
      </c>
      <c r="D208" s="5" t="n">
        <v>219.3</v>
      </c>
      <c r="E208" s="5" t="n">
        <v>219.8</v>
      </c>
      <c r="F208" s="5" t="n">
        <v>210</v>
      </c>
      <c r="G208" s="5" t="n">
        <v>210.1</v>
      </c>
      <c r="H208" s="5" t="n">
        <v>219.3</v>
      </c>
      <c r="I208" s="5" t="n">
        <v>214.5</v>
      </c>
      <c r="K208" s="29" t="n">
        <v>1.455</v>
      </c>
      <c r="L208" s="30" t="n">
        <v>6633</v>
      </c>
    </row>
    <row r="209" customFormat="false" ht="15" hidden="false" customHeight="true" outlineLevel="0" collapsed="false">
      <c r="A209" s="8" t="n">
        <v>207</v>
      </c>
      <c r="B209" s="28" t="n">
        <v>45435</v>
      </c>
      <c r="C209" s="8" t="s">
        <v>1</v>
      </c>
      <c r="D209" s="5" t="n">
        <v>214.5</v>
      </c>
      <c r="E209" s="5" t="n">
        <v>220</v>
      </c>
      <c r="F209" s="5" t="n">
        <v>214.4</v>
      </c>
      <c r="G209" s="5" t="n">
        <v>220</v>
      </c>
      <c r="H209" s="5" t="n">
        <v>214.5</v>
      </c>
      <c r="I209" s="5" t="n">
        <v>221</v>
      </c>
      <c r="K209" s="29" t="n">
        <v>1.973</v>
      </c>
      <c r="L209" s="30" t="n">
        <v>9200</v>
      </c>
    </row>
    <row r="210" customFormat="false" ht="15" hidden="false" customHeight="true" outlineLevel="0" collapsed="false">
      <c r="A210" s="8" t="n">
        <v>208</v>
      </c>
      <c r="B210" s="28" t="n">
        <v>45433</v>
      </c>
      <c r="C210" s="8" t="s">
        <v>1</v>
      </c>
      <c r="D210" s="5" t="n">
        <v>221</v>
      </c>
      <c r="E210" s="5" t="n">
        <v>230</v>
      </c>
      <c r="F210" s="5" t="n">
        <v>220.3</v>
      </c>
      <c r="G210" s="5" t="n">
        <v>224</v>
      </c>
      <c r="H210" s="5" t="n">
        <v>221</v>
      </c>
      <c r="I210" s="5" t="n">
        <v>220.8</v>
      </c>
      <c r="K210" s="29" t="n">
        <v>1.757</v>
      </c>
      <c r="L210" s="30" t="n">
        <v>7952</v>
      </c>
    </row>
    <row r="211" customFormat="false" ht="15" hidden="false" customHeight="true" outlineLevel="0" collapsed="false">
      <c r="A211" s="8" t="n">
        <v>209</v>
      </c>
      <c r="B211" s="28" t="n">
        <v>45432</v>
      </c>
      <c r="C211" s="8" t="s">
        <v>1</v>
      </c>
      <c r="D211" s="5" t="n">
        <v>220.8</v>
      </c>
      <c r="E211" s="5" t="n">
        <v>223.3</v>
      </c>
      <c r="F211" s="5" t="n">
        <v>217.2</v>
      </c>
      <c r="G211" s="5" t="n">
        <v>217.2</v>
      </c>
      <c r="H211" s="5" t="n">
        <v>220.8</v>
      </c>
      <c r="I211" s="5" t="n">
        <v>223.5</v>
      </c>
      <c r="K211" s="29" t="n">
        <v>0.616</v>
      </c>
      <c r="L211" s="30" t="n">
        <v>2789</v>
      </c>
    </row>
    <row r="212" customFormat="false" ht="15" hidden="false" customHeight="true" outlineLevel="0" collapsed="false">
      <c r="A212" s="8" t="n">
        <v>210</v>
      </c>
      <c r="B212" s="28" t="n">
        <v>45431</v>
      </c>
      <c r="C212" s="8" t="s">
        <v>1</v>
      </c>
      <c r="D212" s="5" t="n">
        <v>223.5</v>
      </c>
      <c r="E212" s="5" t="n">
        <v>239.9</v>
      </c>
      <c r="F212" s="5" t="n">
        <v>223.4</v>
      </c>
      <c r="G212" s="5" t="n">
        <v>239.9</v>
      </c>
      <c r="H212" s="5" t="n">
        <v>223.5</v>
      </c>
      <c r="I212" s="5" t="n">
        <v>230.3</v>
      </c>
      <c r="K212" s="29" t="n">
        <v>1.7</v>
      </c>
      <c r="L212" s="30" t="n">
        <v>7605</v>
      </c>
    </row>
    <row r="213" customFormat="false" ht="15" hidden="false" customHeight="true" outlineLevel="0" collapsed="false">
      <c r="A213" s="8" t="n">
        <v>211</v>
      </c>
      <c r="B213" s="28" t="n">
        <v>45428</v>
      </c>
      <c r="C213" s="8" t="s">
        <v>1</v>
      </c>
      <c r="D213" s="5" t="n">
        <v>230.3</v>
      </c>
      <c r="E213" s="5" t="n">
        <v>237</v>
      </c>
      <c r="F213" s="5" t="n">
        <v>229.5</v>
      </c>
      <c r="G213" s="5" t="n">
        <v>237</v>
      </c>
      <c r="H213" s="5" t="n">
        <v>230.3</v>
      </c>
      <c r="I213" s="5" t="n">
        <v>234</v>
      </c>
      <c r="K213" s="29" t="n">
        <v>1.952</v>
      </c>
      <c r="L213" s="30" t="n">
        <v>8478</v>
      </c>
    </row>
    <row r="214" customFormat="false" ht="15" hidden="false" customHeight="true" outlineLevel="0" collapsed="false">
      <c r="A214" s="8" t="n">
        <v>212</v>
      </c>
      <c r="B214" s="28" t="n">
        <v>45427</v>
      </c>
      <c r="C214" s="8" t="s">
        <v>1</v>
      </c>
      <c r="D214" s="5" t="n">
        <v>234</v>
      </c>
      <c r="E214" s="5" t="n">
        <v>235.9</v>
      </c>
      <c r="F214" s="5" t="n">
        <v>230</v>
      </c>
      <c r="G214" s="5" t="n">
        <v>233.9</v>
      </c>
      <c r="H214" s="5" t="n">
        <v>234</v>
      </c>
      <c r="I214" s="5" t="n">
        <v>233.9</v>
      </c>
      <c r="K214" s="29" t="n">
        <v>2.593</v>
      </c>
      <c r="L214" s="30" t="n">
        <v>11082</v>
      </c>
    </row>
    <row r="215" customFormat="false" ht="15" hidden="false" customHeight="true" outlineLevel="0" collapsed="false">
      <c r="A215" s="8" t="n">
        <v>213</v>
      </c>
      <c r="B215" s="28" t="n">
        <v>45426</v>
      </c>
      <c r="C215" s="8" t="s">
        <v>1</v>
      </c>
      <c r="D215" s="5" t="n">
        <v>233.9</v>
      </c>
      <c r="E215" s="5" t="n">
        <v>236.5</v>
      </c>
      <c r="F215" s="5" t="n">
        <v>233.1</v>
      </c>
      <c r="G215" s="5" t="n">
        <v>235.4</v>
      </c>
      <c r="H215" s="5" t="n">
        <v>233.9</v>
      </c>
      <c r="I215" s="5" t="n">
        <v>237.7</v>
      </c>
      <c r="K215" s="29" t="n">
        <v>4.826</v>
      </c>
      <c r="L215" s="30" t="n">
        <v>20633</v>
      </c>
    </row>
    <row r="216" customFormat="false" ht="15" hidden="false" customHeight="true" outlineLevel="0" collapsed="false">
      <c r="A216" s="8" t="n">
        <v>214</v>
      </c>
      <c r="B216" s="28" t="n">
        <v>45425</v>
      </c>
      <c r="C216" s="8" t="s">
        <v>1</v>
      </c>
      <c r="D216" s="5" t="n">
        <v>237.7</v>
      </c>
      <c r="E216" s="5" t="n">
        <v>240</v>
      </c>
      <c r="F216" s="5" t="n">
        <v>237</v>
      </c>
      <c r="G216" s="5" t="n">
        <v>239.6</v>
      </c>
      <c r="H216" s="5" t="n">
        <v>237.7</v>
      </c>
      <c r="I216" s="5" t="n">
        <v>239.6</v>
      </c>
      <c r="K216" s="29" t="n">
        <v>5.384</v>
      </c>
      <c r="L216" s="30" t="n">
        <v>22652</v>
      </c>
    </row>
    <row r="217" customFormat="false" ht="15" hidden="false" customHeight="true" outlineLevel="0" collapsed="false">
      <c r="A217" s="8" t="n">
        <v>215</v>
      </c>
      <c r="B217" s="28" t="n">
        <v>45424</v>
      </c>
      <c r="C217" s="8" t="s">
        <v>1</v>
      </c>
      <c r="D217" s="5" t="n">
        <v>239.6</v>
      </c>
      <c r="E217" s="5" t="n">
        <v>244.2</v>
      </c>
      <c r="F217" s="5" t="n">
        <v>238.1</v>
      </c>
      <c r="G217" s="5" t="n">
        <v>243.7</v>
      </c>
      <c r="H217" s="5" t="n">
        <v>239.6</v>
      </c>
      <c r="I217" s="5" t="n">
        <v>240.1</v>
      </c>
      <c r="K217" s="29" t="n">
        <v>4.787</v>
      </c>
      <c r="L217" s="30" t="n">
        <v>19981</v>
      </c>
    </row>
    <row r="218" customFormat="false" ht="15" hidden="false" customHeight="true" outlineLevel="0" collapsed="false">
      <c r="A218" s="8" t="n">
        <v>216</v>
      </c>
      <c r="B218" s="28" t="n">
        <v>45421</v>
      </c>
      <c r="C218" s="8" t="s">
        <v>1</v>
      </c>
      <c r="D218" s="5" t="n">
        <v>240.1</v>
      </c>
      <c r="E218" s="5" t="n">
        <v>249.9</v>
      </c>
      <c r="F218" s="5" t="n">
        <v>238</v>
      </c>
      <c r="G218" s="5" t="n">
        <v>238.2</v>
      </c>
      <c r="H218" s="5" t="n">
        <v>240.1</v>
      </c>
      <c r="I218" s="5" t="n">
        <v>237.2</v>
      </c>
      <c r="K218" s="29" t="n">
        <v>4.964</v>
      </c>
      <c r="L218" s="30" t="n">
        <v>20675</v>
      </c>
    </row>
    <row r="219" customFormat="false" ht="15" hidden="false" customHeight="true" outlineLevel="0" collapsed="false">
      <c r="A219" s="8" t="n">
        <v>217</v>
      </c>
      <c r="B219" s="28" t="n">
        <v>45420</v>
      </c>
      <c r="C219" s="8" t="s">
        <v>1</v>
      </c>
      <c r="D219" s="5" t="n">
        <v>237.2</v>
      </c>
      <c r="E219" s="5" t="n">
        <v>239</v>
      </c>
      <c r="F219" s="5" t="n">
        <v>236.5</v>
      </c>
      <c r="G219" s="5" t="n">
        <v>236.5</v>
      </c>
      <c r="H219" s="5" t="n">
        <v>237.2</v>
      </c>
      <c r="I219" s="5" t="n">
        <v>238.1</v>
      </c>
      <c r="K219" s="29" t="n">
        <v>4.481</v>
      </c>
      <c r="L219" s="30" t="n">
        <v>18890</v>
      </c>
    </row>
    <row r="220" customFormat="false" ht="15" hidden="false" customHeight="true" outlineLevel="0" collapsed="false">
      <c r="A220" s="8" t="n">
        <v>218</v>
      </c>
      <c r="B220" s="28" t="n">
        <v>45419</v>
      </c>
      <c r="C220" s="8" t="s">
        <v>1</v>
      </c>
      <c r="D220" s="5" t="n">
        <v>238.1</v>
      </c>
      <c r="E220" s="5" t="n">
        <v>240</v>
      </c>
      <c r="F220" s="5" t="n">
        <v>237</v>
      </c>
      <c r="G220" s="5" t="n">
        <v>240</v>
      </c>
      <c r="H220" s="5" t="n">
        <v>238.1</v>
      </c>
      <c r="I220" s="5" t="n">
        <v>239.9</v>
      </c>
      <c r="K220" s="29" t="n">
        <v>2.216</v>
      </c>
      <c r="L220" s="30" t="n">
        <v>9306</v>
      </c>
    </row>
    <row r="221" customFormat="false" ht="15" hidden="false" customHeight="true" outlineLevel="0" collapsed="false">
      <c r="A221" s="8" t="n">
        <v>219</v>
      </c>
      <c r="B221" s="28" t="n">
        <v>45418</v>
      </c>
      <c r="C221" s="8" t="s">
        <v>1</v>
      </c>
      <c r="D221" s="5" t="n">
        <v>239.9</v>
      </c>
      <c r="E221" s="5" t="n">
        <v>242</v>
      </c>
      <c r="F221" s="5" t="n">
        <v>237.8</v>
      </c>
      <c r="G221" s="5" t="n">
        <v>237.8</v>
      </c>
      <c r="H221" s="5" t="n">
        <v>239.9</v>
      </c>
      <c r="I221" s="5" t="n">
        <v>237.7</v>
      </c>
      <c r="K221" s="29" t="n">
        <v>4.203</v>
      </c>
      <c r="L221" s="30" t="n">
        <v>17521</v>
      </c>
    </row>
    <row r="222" customFormat="false" ht="15" hidden="false" customHeight="true" outlineLevel="0" collapsed="false">
      <c r="A222" s="8" t="n">
        <v>220</v>
      </c>
      <c r="B222" s="28" t="n">
        <v>45417</v>
      </c>
      <c r="C222" s="8" t="s">
        <v>1</v>
      </c>
      <c r="D222" s="5" t="n">
        <v>237.7</v>
      </c>
      <c r="E222" s="5" t="n">
        <v>239.5</v>
      </c>
      <c r="F222" s="5" t="n">
        <v>235.4</v>
      </c>
      <c r="G222" s="5" t="n">
        <v>236.5</v>
      </c>
      <c r="H222" s="5" t="n">
        <v>237.7</v>
      </c>
      <c r="I222" s="5" t="n">
        <v>238.2</v>
      </c>
      <c r="K222" s="29" t="n">
        <v>3.371</v>
      </c>
      <c r="L222" s="30" t="n">
        <v>14180</v>
      </c>
    </row>
    <row r="223" customFormat="false" ht="15" hidden="false" customHeight="true" outlineLevel="0" collapsed="false">
      <c r="A223" s="8" t="n">
        <v>221</v>
      </c>
      <c r="B223" s="28" t="n">
        <v>45414</v>
      </c>
      <c r="C223" s="8" t="s">
        <v>1</v>
      </c>
      <c r="D223" s="5" t="n">
        <v>238.2</v>
      </c>
      <c r="E223" s="5" t="n">
        <v>239.4</v>
      </c>
      <c r="F223" s="5" t="n">
        <v>235</v>
      </c>
      <c r="G223" s="5" t="n">
        <v>237.5</v>
      </c>
      <c r="H223" s="5" t="n">
        <v>238.2</v>
      </c>
      <c r="I223" s="5" t="n">
        <v>234.3</v>
      </c>
      <c r="K223" s="29" t="n">
        <v>2.555</v>
      </c>
      <c r="L223" s="30" t="n">
        <v>10727</v>
      </c>
    </row>
    <row r="224" customFormat="false" ht="15" hidden="false" customHeight="true" outlineLevel="0" collapsed="false">
      <c r="A224" s="8" t="n">
        <v>222</v>
      </c>
      <c r="B224" s="28" t="n">
        <v>45412</v>
      </c>
      <c r="C224" s="8" t="s">
        <v>1</v>
      </c>
      <c r="D224" s="5" t="n">
        <v>234.3</v>
      </c>
      <c r="E224" s="5" t="n">
        <v>237</v>
      </c>
      <c r="F224" s="5" t="n">
        <v>232</v>
      </c>
      <c r="G224" s="5" t="n">
        <v>237</v>
      </c>
      <c r="H224" s="5" t="n">
        <v>234.3</v>
      </c>
      <c r="I224" s="5" t="n">
        <v>233.5</v>
      </c>
      <c r="K224" s="29" t="n">
        <v>1.723</v>
      </c>
      <c r="L224" s="30" t="n">
        <v>7355</v>
      </c>
    </row>
    <row r="225" customFormat="false" ht="15" hidden="false" customHeight="true" outlineLevel="0" collapsed="false">
      <c r="A225" s="8" t="n">
        <v>223</v>
      </c>
      <c r="B225" s="28" t="n">
        <v>45411</v>
      </c>
      <c r="C225" s="8" t="s">
        <v>1</v>
      </c>
      <c r="D225" s="5" t="n">
        <v>233.5</v>
      </c>
      <c r="E225" s="5" t="n">
        <v>240</v>
      </c>
      <c r="F225" s="5" t="n">
        <v>232.3</v>
      </c>
      <c r="G225" s="5" t="n">
        <v>238.6</v>
      </c>
      <c r="H225" s="5" t="n">
        <v>233.5</v>
      </c>
      <c r="I225" s="5" t="n">
        <v>239.1</v>
      </c>
      <c r="K225" s="29" t="n">
        <v>4.215</v>
      </c>
      <c r="L225" s="30" t="n">
        <v>18053</v>
      </c>
    </row>
    <row r="226" customFormat="false" ht="15" hidden="false" customHeight="true" outlineLevel="0" collapsed="false">
      <c r="A226" s="8" t="n">
        <v>224</v>
      </c>
      <c r="B226" s="28" t="n">
        <v>45410</v>
      </c>
      <c r="C226" s="8" t="s">
        <v>1</v>
      </c>
      <c r="D226" s="5" t="n">
        <v>239.1</v>
      </c>
      <c r="E226" s="5" t="n">
        <v>242.8</v>
      </c>
      <c r="F226" s="5" t="n">
        <v>237.6</v>
      </c>
      <c r="G226" s="5" t="n">
        <v>237.6</v>
      </c>
      <c r="H226" s="5" t="n">
        <v>239.1</v>
      </c>
      <c r="I226" s="5" t="n">
        <v>237.3</v>
      </c>
      <c r="K226" s="29" t="n">
        <v>1.989</v>
      </c>
      <c r="L226" s="30" t="n">
        <v>8319</v>
      </c>
    </row>
    <row r="227" customFormat="false" ht="15" hidden="false" customHeight="true" outlineLevel="0" collapsed="false">
      <c r="A227" s="8" t="n">
        <v>225</v>
      </c>
      <c r="B227" s="28" t="n">
        <v>45407</v>
      </c>
      <c r="C227" s="8" t="s">
        <v>1</v>
      </c>
      <c r="D227" s="5" t="n">
        <v>237.3</v>
      </c>
      <c r="E227" s="5" t="n">
        <v>238</v>
      </c>
      <c r="F227" s="5" t="n">
        <v>231</v>
      </c>
      <c r="G227" s="5" t="n">
        <v>238</v>
      </c>
      <c r="H227" s="5" t="n">
        <v>237.3</v>
      </c>
      <c r="I227" s="5" t="n">
        <v>238.1</v>
      </c>
      <c r="K227" s="29" t="n">
        <v>2.129</v>
      </c>
      <c r="L227" s="30" t="n">
        <v>8971</v>
      </c>
    </row>
    <row r="228" customFormat="false" ht="15" hidden="false" customHeight="true" outlineLevel="0" collapsed="false">
      <c r="A228" s="8" t="n">
        <v>226</v>
      </c>
      <c r="B228" s="28" t="n">
        <v>45406</v>
      </c>
      <c r="C228" s="8" t="s">
        <v>1</v>
      </c>
      <c r="D228" s="5" t="n">
        <v>238.1</v>
      </c>
      <c r="E228" s="5" t="n">
        <v>243.9</v>
      </c>
      <c r="F228" s="5" t="n">
        <v>237</v>
      </c>
      <c r="G228" s="5" t="n">
        <v>243.9</v>
      </c>
      <c r="H228" s="5" t="n">
        <v>238.1</v>
      </c>
      <c r="I228" s="5" t="n">
        <v>238.9</v>
      </c>
      <c r="K228" s="29" t="n">
        <v>1.194</v>
      </c>
      <c r="L228" s="30" t="n">
        <v>5015</v>
      </c>
    </row>
    <row r="229" customFormat="false" ht="15" hidden="false" customHeight="true" outlineLevel="0" collapsed="false">
      <c r="A229" s="8" t="n">
        <v>227</v>
      </c>
      <c r="B229" s="28" t="n">
        <v>45405</v>
      </c>
      <c r="C229" s="8" t="s">
        <v>1</v>
      </c>
      <c r="D229" s="5" t="n">
        <v>238.9</v>
      </c>
      <c r="E229" s="5" t="n">
        <v>243</v>
      </c>
      <c r="F229" s="5" t="n">
        <v>237</v>
      </c>
      <c r="G229" s="5" t="n">
        <v>242</v>
      </c>
      <c r="H229" s="5" t="n">
        <v>238.9</v>
      </c>
      <c r="I229" s="5" t="n">
        <v>240.3</v>
      </c>
      <c r="K229" s="29" t="n">
        <v>2.961</v>
      </c>
      <c r="L229" s="30" t="n">
        <v>12395</v>
      </c>
    </row>
    <row r="230" customFormat="false" ht="15" hidden="false" customHeight="true" outlineLevel="0" collapsed="false">
      <c r="A230" s="8" t="n">
        <v>228</v>
      </c>
      <c r="B230" s="28" t="n">
        <v>45404</v>
      </c>
      <c r="C230" s="8" t="s">
        <v>1</v>
      </c>
      <c r="D230" s="5" t="n">
        <v>240.3</v>
      </c>
      <c r="E230" s="5" t="n">
        <v>244.9</v>
      </c>
      <c r="F230" s="5" t="n">
        <v>239.4</v>
      </c>
      <c r="G230" s="5" t="n">
        <v>240.4</v>
      </c>
      <c r="H230" s="5" t="n">
        <v>240.3</v>
      </c>
      <c r="I230" s="5" t="n">
        <v>241.7</v>
      </c>
      <c r="K230" s="29" t="n">
        <v>1.455</v>
      </c>
      <c r="L230" s="30" t="n">
        <v>6053</v>
      </c>
    </row>
    <row r="231" customFormat="false" ht="15" hidden="false" customHeight="true" outlineLevel="0" collapsed="false">
      <c r="A231" s="8" t="n">
        <v>229</v>
      </c>
      <c r="B231" s="28" t="n">
        <v>45403</v>
      </c>
      <c r="C231" s="8" t="s">
        <v>1</v>
      </c>
      <c r="D231" s="5" t="n">
        <v>241.7</v>
      </c>
      <c r="E231" s="5" t="n">
        <v>248</v>
      </c>
      <c r="F231" s="5" t="n">
        <v>239.1</v>
      </c>
      <c r="G231" s="5" t="n">
        <v>239.1</v>
      </c>
      <c r="H231" s="5" t="n">
        <v>241.7</v>
      </c>
      <c r="I231" s="5" t="n">
        <v>240.8</v>
      </c>
      <c r="K231" s="29" t="n">
        <v>1.526</v>
      </c>
      <c r="L231" s="30" t="n">
        <v>6314</v>
      </c>
    </row>
    <row r="232" customFormat="false" ht="15" hidden="false" customHeight="true" outlineLevel="0" collapsed="false">
      <c r="A232" s="8" t="n">
        <v>230</v>
      </c>
      <c r="B232" s="28" t="n">
        <v>45400</v>
      </c>
      <c r="C232" s="8" t="s">
        <v>1</v>
      </c>
      <c r="D232" s="5" t="n">
        <v>240.8</v>
      </c>
      <c r="E232" s="5" t="n">
        <v>248</v>
      </c>
      <c r="F232" s="5" t="n">
        <v>239.8</v>
      </c>
      <c r="G232" s="5" t="n">
        <v>240.1</v>
      </c>
      <c r="H232" s="5" t="n">
        <v>240.8</v>
      </c>
      <c r="I232" s="5" t="n">
        <v>243.1</v>
      </c>
      <c r="K232" s="29" t="n">
        <v>4.476</v>
      </c>
      <c r="L232" s="30" t="n">
        <v>18588</v>
      </c>
    </row>
    <row r="233" customFormat="false" ht="15" hidden="false" customHeight="true" outlineLevel="0" collapsed="false">
      <c r="A233" s="8" t="n">
        <v>231</v>
      </c>
      <c r="B233" s="28" t="n">
        <v>45399</v>
      </c>
      <c r="C233" s="8" t="s">
        <v>1</v>
      </c>
      <c r="D233" s="5" t="n">
        <v>243.1</v>
      </c>
      <c r="E233" s="5" t="n">
        <v>247</v>
      </c>
      <c r="F233" s="5" t="n">
        <v>242.7</v>
      </c>
      <c r="G233" s="5" t="n">
        <v>243.2</v>
      </c>
      <c r="H233" s="5" t="n">
        <v>243.1</v>
      </c>
      <c r="I233" s="5" t="n">
        <v>243.6</v>
      </c>
      <c r="K233" s="29" t="n">
        <v>1.891</v>
      </c>
      <c r="L233" s="30" t="n">
        <v>7779</v>
      </c>
    </row>
    <row r="234" customFormat="false" ht="15" hidden="false" customHeight="true" outlineLevel="0" collapsed="false">
      <c r="A234" s="8" t="n">
        <v>232</v>
      </c>
      <c r="B234" s="28" t="n">
        <v>45398</v>
      </c>
      <c r="C234" s="8" t="s">
        <v>1</v>
      </c>
      <c r="D234" s="5" t="n">
        <v>243.6</v>
      </c>
      <c r="E234" s="5" t="n">
        <v>245.9</v>
      </c>
      <c r="F234" s="5" t="n">
        <v>242.3</v>
      </c>
      <c r="G234" s="5" t="n">
        <v>243</v>
      </c>
      <c r="H234" s="5" t="n">
        <v>243.6</v>
      </c>
      <c r="I234" s="5" t="n">
        <v>243.5</v>
      </c>
      <c r="K234" s="29" t="n">
        <v>0.941</v>
      </c>
      <c r="L234" s="30" t="n">
        <v>3862</v>
      </c>
    </row>
    <row r="235" customFormat="false" ht="15" hidden="false" customHeight="true" outlineLevel="0" collapsed="false">
      <c r="A235" s="8" t="n">
        <v>233</v>
      </c>
      <c r="B235" s="28" t="n">
        <v>45397</v>
      </c>
      <c r="C235" s="8" t="s">
        <v>1</v>
      </c>
      <c r="D235" s="5" t="n">
        <v>243.5</v>
      </c>
      <c r="E235" s="5" t="n">
        <v>245.9</v>
      </c>
      <c r="F235" s="5" t="n">
        <v>243</v>
      </c>
      <c r="G235" s="5" t="n">
        <v>243</v>
      </c>
      <c r="H235" s="5" t="n">
        <v>243.5</v>
      </c>
      <c r="I235" s="5" t="n">
        <v>245.4</v>
      </c>
      <c r="K235" s="29" t="n">
        <v>1.048</v>
      </c>
      <c r="L235" s="30" t="n">
        <v>4302</v>
      </c>
    </row>
    <row r="236" customFormat="false" ht="15" hidden="false" customHeight="true" outlineLevel="0" collapsed="false">
      <c r="A236" s="8" t="n">
        <v>234</v>
      </c>
      <c r="B236" s="28" t="n">
        <v>45391</v>
      </c>
      <c r="C236" s="8" t="s">
        <v>1</v>
      </c>
      <c r="D236" s="5" t="n">
        <v>245.4</v>
      </c>
      <c r="E236" s="5" t="n">
        <v>248.6</v>
      </c>
      <c r="F236" s="5" t="n">
        <v>243</v>
      </c>
      <c r="G236" s="5" t="n">
        <v>245.2</v>
      </c>
      <c r="H236" s="5" t="n">
        <v>245.4</v>
      </c>
      <c r="I236" s="5" t="n">
        <v>248.8</v>
      </c>
      <c r="K236" s="29" t="n">
        <v>1.467</v>
      </c>
      <c r="L236" s="30" t="n">
        <v>5978</v>
      </c>
    </row>
    <row r="237" customFormat="false" ht="15" hidden="false" customHeight="true" outlineLevel="0" collapsed="false">
      <c r="A237" s="8" t="n">
        <v>235</v>
      </c>
      <c r="B237" s="28" t="n">
        <v>45390</v>
      </c>
      <c r="C237" s="8" t="s">
        <v>1</v>
      </c>
      <c r="D237" s="5" t="n">
        <v>248.8</v>
      </c>
      <c r="E237" s="5" t="n">
        <v>249.9</v>
      </c>
      <c r="F237" s="5" t="n">
        <v>245.8</v>
      </c>
      <c r="G237" s="5" t="n">
        <v>247.9</v>
      </c>
      <c r="H237" s="5" t="n">
        <v>248.8</v>
      </c>
      <c r="I237" s="5" t="n">
        <v>248.8</v>
      </c>
      <c r="K237" s="29" t="n">
        <v>0.725</v>
      </c>
      <c r="L237" s="30" t="n">
        <v>2912</v>
      </c>
    </row>
  </sheetData>
  <mergeCells count="1">
    <mergeCell ref="N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12" min="3" style="1" width="11"/>
    <col collapsed="false" customWidth="true" hidden="false" outlineLevel="0" max="14" min="14" style="1" width="14"/>
  </cols>
  <sheetData>
    <row r="1" customFormat="false" ht="15" hidden="false" customHeight="true" outlineLevel="0" collapsed="false">
      <c r="A1" s="26" t="s">
        <v>62</v>
      </c>
      <c r="B1" s="26" t="s">
        <v>63</v>
      </c>
      <c r="C1" s="26" t="s">
        <v>64</v>
      </c>
      <c r="D1" s="26" t="s">
        <v>65</v>
      </c>
      <c r="E1" s="26" t="s">
        <v>66</v>
      </c>
      <c r="F1" s="26" t="s">
        <v>67</v>
      </c>
      <c r="G1" s="26" t="s">
        <v>68</v>
      </c>
      <c r="H1" s="26" t="s">
        <v>69</v>
      </c>
      <c r="I1" s="26" t="s">
        <v>70</v>
      </c>
      <c r="J1" s="26" t="s">
        <v>71</v>
      </c>
      <c r="K1" s="26" t="s">
        <v>72</v>
      </c>
      <c r="L1" s="26" t="s">
        <v>73</v>
      </c>
      <c r="N1" s="19" t="s">
        <v>74</v>
      </c>
    </row>
    <row r="2" customFormat="false" ht="30" hidden="false" customHeight="true" outlineLevel="0" collapsed="false">
      <c r="N2" s="27" t="s">
        <v>75</v>
      </c>
      <c r="O2" s="27"/>
      <c r="P2" s="27"/>
      <c r="Q2" s="27"/>
      <c r="R2" s="27"/>
      <c r="S2" s="27"/>
      <c r="T2" s="27"/>
    </row>
    <row r="3" customFormat="false" ht="15" hidden="false" customHeight="true" outlineLevel="0" collapsed="false">
      <c r="A3" s="8" t="n">
        <v>1</v>
      </c>
      <c r="B3" s="28" t="n">
        <v>45755</v>
      </c>
      <c r="C3" s="8" t="s">
        <v>2</v>
      </c>
      <c r="D3" s="5" t="n">
        <v>109.2</v>
      </c>
      <c r="E3" s="5" t="n">
        <v>111.8</v>
      </c>
      <c r="F3" s="5" t="n">
        <v>105.9</v>
      </c>
      <c r="G3" s="5" t="n">
        <v>107.5</v>
      </c>
      <c r="H3" s="5" t="n">
        <v>109.2</v>
      </c>
      <c r="I3" s="5" t="n">
        <v>107.7</v>
      </c>
      <c r="K3" s="29" t="n">
        <v>241.001</v>
      </c>
      <c r="L3" s="30" t="n">
        <v>2206972</v>
      </c>
    </row>
    <row r="4" customFormat="false" ht="15" hidden="false" customHeight="true" outlineLevel="0" collapsed="false">
      <c r="A4" s="8" t="n">
        <v>2</v>
      </c>
      <c r="B4" s="28" t="n">
        <v>45754</v>
      </c>
      <c r="C4" s="8" t="s">
        <v>2</v>
      </c>
      <c r="D4" s="5" t="n">
        <v>107.7</v>
      </c>
      <c r="E4" s="5" t="n">
        <v>113.3</v>
      </c>
      <c r="F4" s="5" t="n">
        <v>106.7</v>
      </c>
      <c r="G4" s="5" t="n">
        <v>110.9</v>
      </c>
      <c r="H4" s="5" t="n">
        <v>107.7</v>
      </c>
      <c r="I4" s="5" t="n">
        <v>108.8</v>
      </c>
      <c r="K4" s="29" t="n">
        <v>263.773</v>
      </c>
      <c r="L4" s="30" t="n">
        <v>2449146</v>
      </c>
    </row>
    <row r="5" customFormat="false" ht="15" hidden="false" customHeight="true" outlineLevel="0" collapsed="false">
      <c r="A5" s="8" t="n">
        <v>3</v>
      </c>
      <c r="B5" s="28" t="n">
        <v>45753</v>
      </c>
      <c r="C5" s="8" t="s">
        <v>2</v>
      </c>
      <c r="D5" s="5" t="n">
        <v>108.8</v>
      </c>
      <c r="E5" s="5" t="n">
        <v>109</v>
      </c>
      <c r="F5" s="5" t="n">
        <v>93.3</v>
      </c>
      <c r="G5" s="5" t="n">
        <v>98</v>
      </c>
      <c r="H5" s="5" t="n">
        <v>108.8</v>
      </c>
      <c r="I5" s="5" t="n">
        <v>99.1</v>
      </c>
      <c r="K5" s="29" t="n">
        <v>325.439</v>
      </c>
      <c r="L5" s="30" t="n">
        <v>2991166</v>
      </c>
    </row>
    <row r="6" customFormat="false" ht="15" hidden="false" customHeight="true" outlineLevel="0" collapsed="false">
      <c r="A6" s="8" t="n">
        <v>4</v>
      </c>
      <c r="B6" s="28" t="n">
        <v>45743</v>
      </c>
      <c r="C6" s="8" t="s">
        <v>2</v>
      </c>
      <c r="D6" s="5" t="n">
        <v>99.1</v>
      </c>
      <c r="E6" s="5" t="n">
        <v>101.9</v>
      </c>
      <c r="F6" s="5" t="n">
        <v>97.9</v>
      </c>
      <c r="G6" s="5" t="n">
        <v>101.4</v>
      </c>
      <c r="H6" s="5" t="n">
        <v>99.1</v>
      </c>
      <c r="I6" s="5" t="n">
        <v>101.6</v>
      </c>
      <c r="K6" s="29" t="n">
        <v>151.396</v>
      </c>
      <c r="L6" s="30" t="n">
        <v>1527708</v>
      </c>
    </row>
    <row r="7" customFormat="false" ht="15" hidden="false" customHeight="true" outlineLevel="0" collapsed="false">
      <c r="A7" s="8" t="n">
        <v>5</v>
      </c>
      <c r="B7" s="28" t="n">
        <v>45741</v>
      </c>
      <c r="C7" s="8" t="s">
        <v>2</v>
      </c>
      <c r="D7" s="5" t="n">
        <v>101.6</v>
      </c>
      <c r="E7" s="5" t="n">
        <v>104.4</v>
      </c>
      <c r="F7" s="5" t="n">
        <v>100.5</v>
      </c>
      <c r="G7" s="5" t="n">
        <v>102</v>
      </c>
      <c r="H7" s="5" t="n">
        <v>101.6</v>
      </c>
      <c r="I7" s="5" t="n">
        <v>101.9</v>
      </c>
      <c r="K7" s="29" t="n">
        <v>192.958</v>
      </c>
      <c r="L7" s="30" t="n">
        <v>1899197</v>
      </c>
    </row>
    <row r="8" customFormat="false" ht="15" hidden="false" customHeight="true" outlineLevel="0" collapsed="false">
      <c r="A8" s="8" t="n">
        <v>6</v>
      </c>
      <c r="B8" s="28" t="n">
        <v>45740</v>
      </c>
      <c r="C8" s="8" t="s">
        <v>2</v>
      </c>
      <c r="D8" s="5" t="n">
        <v>101.9</v>
      </c>
      <c r="E8" s="5" t="n">
        <v>104.3</v>
      </c>
      <c r="F8" s="5" t="n">
        <v>94.9</v>
      </c>
      <c r="G8" s="5" t="n">
        <v>95</v>
      </c>
      <c r="H8" s="5" t="n">
        <v>101.9</v>
      </c>
      <c r="I8" s="5" t="n">
        <v>94.9</v>
      </c>
      <c r="K8" s="29" t="n">
        <v>317.016</v>
      </c>
      <c r="L8" s="30" t="n">
        <v>3111051</v>
      </c>
    </row>
    <row r="9" customFormat="false" ht="15" hidden="false" customHeight="true" outlineLevel="0" collapsed="false">
      <c r="A9" s="8" t="n">
        <v>7</v>
      </c>
      <c r="B9" s="28" t="n">
        <v>45739</v>
      </c>
      <c r="C9" s="8" t="s">
        <v>2</v>
      </c>
      <c r="D9" s="5" t="n">
        <v>94.9</v>
      </c>
      <c r="E9" s="5" t="n">
        <v>95.9</v>
      </c>
      <c r="F9" s="5" t="n">
        <v>87</v>
      </c>
      <c r="G9" s="5" t="n">
        <v>87</v>
      </c>
      <c r="H9" s="5" t="n">
        <v>94.9</v>
      </c>
      <c r="I9" s="5" t="n">
        <v>87.2</v>
      </c>
      <c r="K9" s="29" t="n">
        <v>213.158</v>
      </c>
      <c r="L9" s="30" t="n">
        <v>2246134</v>
      </c>
    </row>
    <row r="10" customFormat="false" ht="15" hidden="false" customHeight="true" outlineLevel="0" collapsed="false">
      <c r="A10" s="8" t="n">
        <v>8</v>
      </c>
      <c r="B10" s="28" t="n">
        <v>45736</v>
      </c>
      <c r="C10" s="8" t="s">
        <v>2</v>
      </c>
      <c r="D10" s="5" t="n">
        <v>87.2</v>
      </c>
      <c r="E10" s="5" t="n">
        <v>88.2</v>
      </c>
      <c r="F10" s="5" t="n">
        <v>83</v>
      </c>
      <c r="G10" s="5" t="n">
        <v>83</v>
      </c>
      <c r="H10" s="5" t="n">
        <v>87.2</v>
      </c>
      <c r="I10" s="5" t="n">
        <v>83</v>
      </c>
      <c r="K10" s="29" t="n">
        <v>128.299</v>
      </c>
      <c r="L10" s="30" t="n">
        <v>1471323</v>
      </c>
    </row>
    <row r="11" customFormat="false" ht="15" hidden="false" customHeight="true" outlineLevel="0" collapsed="false">
      <c r="A11" s="8" t="n">
        <v>9</v>
      </c>
      <c r="B11" s="28" t="n">
        <v>45735</v>
      </c>
      <c r="C11" s="8" t="s">
        <v>2</v>
      </c>
      <c r="D11" s="5" t="n">
        <v>83</v>
      </c>
      <c r="E11" s="5" t="n">
        <v>83.5</v>
      </c>
      <c r="F11" s="5" t="n">
        <v>80.9</v>
      </c>
      <c r="G11" s="5" t="n">
        <v>81.5</v>
      </c>
      <c r="H11" s="5" t="n">
        <v>83</v>
      </c>
      <c r="I11" s="5" t="n">
        <v>80.9</v>
      </c>
      <c r="K11" s="29" t="n">
        <v>53.115</v>
      </c>
      <c r="L11" s="30" t="n">
        <v>639943</v>
      </c>
    </row>
    <row r="12" customFormat="false" ht="15" hidden="false" customHeight="true" outlineLevel="0" collapsed="false">
      <c r="A12" s="8" t="n">
        <v>10</v>
      </c>
      <c r="B12" s="28" t="n">
        <v>45734</v>
      </c>
      <c r="C12" s="8" t="s">
        <v>2</v>
      </c>
      <c r="D12" s="5" t="n">
        <v>80.9</v>
      </c>
      <c r="E12" s="5" t="n">
        <v>81.9</v>
      </c>
      <c r="F12" s="5" t="n">
        <v>80.6</v>
      </c>
      <c r="G12" s="5" t="n">
        <v>81.4</v>
      </c>
      <c r="H12" s="5" t="n">
        <v>80.9</v>
      </c>
      <c r="I12" s="5" t="n">
        <v>82.4</v>
      </c>
      <c r="K12" s="29" t="n">
        <v>11.202</v>
      </c>
      <c r="L12" s="30" t="n">
        <v>138470</v>
      </c>
    </row>
    <row r="13" customFormat="false" ht="15" hidden="false" customHeight="true" outlineLevel="0" collapsed="false">
      <c r="A13" s="8" t="n">
        <v>11</v>
      </c>
      <c r="B13" s="28" t="n">
        <v>45733</v>
      </c>
      <c r="C13" s="8" t="s">
        <v>2</v>
      </c>
      <c r="D13" s="5" t="n">
        <v>82.4</v>
      </c>
      <c r="E13" s="5" t="n">
        <v>82.7</v>
      </c>
      <c r="F13" s="5" t="n">
        <v>80.6</v>
      </c>
      <c r="G13" s="5" t="n">
        <v>81.5</v>
      </c>
      <c r="H13" s="5" t="n">
        <v>82.4</v>
      </c>
      <c r="I13" s="5" t="n">
        <v>81.2</v>
      </c>
      <c r="K13" s="29" t="n">
        <v>56.918</v>
      </c>
      <c r="L13" s="30" t="n">
        <v>690754</v>
      </c>
    </row>
    <row r="14" customFormat="false" ht="15" hidden="false" customHeight="true" outlineLevel="0" collapsed="false">
      <c r="A14" s="8" t="n">
        <v>12</v>
      </c>
      <c r="B14" s="28" t="n">
        <v>45732</v>
      </c>
      <c r="C14" s="8" t="s">
        <v>2</v>
      </c>
      <c r="D14" s="5" t="n">
        <v>81.2</v>
      </c>
      <c r="E14" s="5" t="n">
        <v>82.5</v>
      </c>
      <c r="F14" s="5" t="n">
        <v>80.6</v>
      </c>
      <c r="G14" s="5" t="n">
        <v>81</v>
      </c>
      <c r="H14" s="5" t="n">
        <v>81.2</v>
      </c>
      <c r="I14" s="5" t="n">
        <v>81.1</v>
      </c>
      <c r="K14" s="29" t="n">
        <v>12.67</v>
      </c>
      <c r="L14" s="30" t="n">
        <v>156040</v>
      </c>
    </row>
    <row r="15" customFormat="false" ht="15" hidden="false" customHeight="true" outlineLevel="0" collapsed="false">
      <c r="A15" s="8" t="n">
        <v>13</v>
      </c>
      <c r="B15" s="28" t="n">
        <v>45729</v>
      </c>
      <c r="C15" s="8" t="s">
        <v>2</v>
      </c>
      <c r="D15" s="5" t="n">
        <v>81.1</v>
      </c>
      <c r="E15" s="5" t="n">
        <v>81.9</v>
      </c>
      <c r="F15" s="5" t="n">
        <v>79.9</v>
      </c>
      <c r="G15" s="5" t="n">
        <v>81.9</v>
      </c>
      <c r="H15" s="5" t="n">
        <v>81.1</v>
      </c>
      <c r="I15" s="5" t="n">
        <v>81.3</v>
      </c>
      <c r="K15" s="29" t="n">
        <v>52.61</v>
      </c>
      <c r="L15" s="30" t="n">
        <v>648704</v>
      </c>
    </row>
    <row r="16" customFormat="false" ht="15" hidden="false" customHeight="true" outlineLevel="0" collapsed="false">
      <c r="A16" s="8" t="n">
        <v>14</v>
      </c>
      <c r="B16" s="28" t="n">
        <v>45728</v>
      </c>
      <c r="C16" s="8" t="s">
        <v>2</v>
      </c>
      <c r="D16" s="5" t="n">
        <v>81.3</v>
      </c>
      <c r="E16" s="5" t="n">
        <v>81.5</v>
      </c>
      <c r="F16" s="5" t="n">
        <v>80.8</v>
      </c>
      <c r="G16" s="5" t="n">
        <v>81</v>
      </c>
      <c r="H16" s="5" t="n">
        <v>81.3</v>
      </c>
      <c r="I16" s="5" t="n">
        <v>81</v>
      </c>
      <c r="K16" s="29" t="n">
        <v>46.914</v>
      </c>
      <c r="L16" s="30" t="n">
        <v>577052</v>
      </c>
    </row>
    <row r="17" customFormat="false" ht="15" hidden="false" customHeight="true" outlineLevel="0" collapsed="false">
      <c r="A17" s="8" t="n">
        <v>15</v>
      </c>
      <c r="B17" s="28" t="n">
        <v>45727</v>
      </c>
      <c r="C17" s="8" t="s">
        <v>2</v>
      </c>
      <c r="D17" s="5" t="n">
        <v>81</v>
      </c>
      <c r="E17" s="5" t="n">
        <v>82.8</v>
      </c>
      <c r="F17" s="5" t="n">
        <v>80.6</v>
      </c>
      <c r="G17" s="5" t="n">
        <v>81</v>
      </c>
      <c r="H17" s="5" t="n">
        <v>81</v>
      </c>
      <c r="I17" s="5" t="n">
        <v>81</v>
      </c>
      <c r="K17" s="29" t="n">
        <v>11.144</v>
      </c>
      <c r="L17" s="30" t="n">
        <v>137578</v>
      </c>
    </row>
    <row r="18" customFormat="false" ht="15" hidden="false" customHeight="true" outlineLevel="0" collapsed="false">
      <c r="A18" s="8" t="n">
        <v>16</v>
      </c>
      <c r="B18" s="28" t="n">
        <v>45726</v>
      </c>
      <c r="C18" s="8" t="s">
        <v>2</v>
      </c>
      <c r="D18" s="5" t="n">
        <v>81</v>
      </c>
      <c r="E18" s="5" t="n">
        <v>81.5</v>
      </c>
      <c r="F18" s="5" t="n">
        <v>78.2</v>
      </c>
      <c r="G18" s="5" t="n">
        <v>79</v>
      </c>
      <c r="H18" s="5" t="n">
        <v>81</v>
      </c>
      <c r="I18" s="5" t="n">
        <v>78.5</v>
      </c>
      <c r="K18" s="29" t="n">
        <v>31.945</v>
      </c>
      <c r="L18" s="30" t="n">
        <v>394388</v>
      </c>
    </row>
    <row r="19" customFormat="false" ht="15" hidden="false" customHeight="true" outlineLevel="0" collapsed="false">
      <c r="A19" s="8" t="n">
        <v>17</v>
      </c>
      <c r="B19" s="28" t="n">
        <v>45725</v>
      </c>
      <c r="C19" s="8" t="s">
        <v>2</v>
      </c>
      <c r="D19" s="5" t="n">
        <v>78.5</v>
      </c>
      <c r="E19" s="5" t="n">
        <v>79</v>
      </c>
      <c r="F19" s="5" t="n">
        <v>78</v>
      </c>
      <c r="G19" s="5" t="n">
        <v>78</v>
      </c>
      <c r="H19" s="5" t="n">
        <v>78.5</v>
      </c>
      <c r="I19" s="5" t="n">
        <v>78.3</v>
      </c>
      <c r="K19" s="29" t="n">
        <v>5.866</v>
      </c>
      <c r="L19" s="30" t="n">
        <v>74725</v>
      </c>
    </row>
    <row r="20" customFormat="false" ht="15" hidden="false" customHeight="true" outlineLevel="0" collapsed="false">
      <c r="A20" s="8" t="n">
        <v>18</v>
      </c>
      <c r="B20" s="28" t="n">
        <v>45722</v>
      </c>
      <c r="C20" s="8" t="s">
        <v>2</v>
      </c>
      <c r="D20" s="5" t="n">
        <v>78.3</v>
      </c>
      <c r="E20" s="5" t="n">
        <v>79.8</v>
      </c>
      <c r="F20" s="5" t="n">
        <v>78.1</v>
      </c>
      <c r="G20" s="5" t="n">
        <v>79.8</v>
      </c>
      <c r="H20" s="5" t="n">
        <v>78.3</v>
      </c>
      <c r="I20" s="5" t="n">
        <v>79.5</v>
      </c>
      <c r="K20" s="29" t="n">
        <v>3.369</v>
      </c>
      <c r="L20" s="30" t="n">
        <v>43031</v>
      </c>
    </row>
    <row r="21" customFormat="false" ht="15" hidden="false" customHeight="true" outlineLevel="0" collapsed="false">
      <c r="A21" s="8" t="n">
        <v>19</v>
      </c>
      <c r="B21" s="28" t="n">
        <v>45721</v>
      </c>
      <c r="C21" s="8" t="s">
        <v>2</v>
      </c>
      <c r="D21" s="5" t="n">
        <v>79.5</v>
      </c>
      <c r="E21" s="5" t="n">
        <v>79.7</v>
      </c>
      <c r="F21" s="5" t="n">
        <v>78.2</v>
      </c>
      <c r="G21" s="5" t="n">
        <v>79</v>
      </c>
      <c r="H21" s="5" t="n">
        <v>79.5</v>
      </c>
      <c r="I21" s="5" t="n">
        <v>78.3</v>
      </c>
      <c r="K21" s="29" t="n">
        <v>10.746</v>
      </c>
      <c r="L21" s="30" t="n">
        <v>135166</v>
      </c>
    </row>
    <row r="22" customFormat="false" ht="15" hidden="false" customHeight="true" outlineLevel="0" collapsed="false">
      <c r="A22" s="8" t="n">
        <v>20</v>
      </c>
      <c r="B22" s="28" t="n">
        <v>45720</v>
      </c>
      <c r="C22" s="8" t="s">
        <v>2</v>
      </c>
      <c r="D22" s="5" t="n">
        <v>78.3</v>
      </c>
      <c r="E22" s="5" t="n">
        <v>79.9</v>
      </c>
      <c r="F22" s="5" t="n">
        <v>78</v>
      </c>
      <c r="G22" s="5" t="n">
        <v>79.9</v>
      </c>
      <c r="H22" s="5" t="n">
        <v>78.3</v>
      </c>
      <c r="I22" s="5" t="n">
        <v>79</v>
      </c>
      <c r="K22" s="29" t="n">
        <v>5.138</v>
      </c>
      <c r="L22" s="30" t="n">
        <v>65620</v>
      </c>
    </row>
    <row r="23" customFormat="false" ht="15" hidden="false" customHeight="true" outlineLevel="0" collapsed="false">
      <c r="A23" s="8" t="n">
        <v>21</v>
      </c>
      <c r="B23" s="28" t="n">
        <v>45719</v>
      </c>
      <c r="C23" s="8" t="s">
        <v>2</v>
      </c>
      <c r="D23" s="5" t="n">
        <v>79</v>
      </c>
      <c r="E23" s="5" t="n">
        <v>79.8</v>
      </c>
      <c r="F23" s="5" t="n">
        <v>78.8</v>
      </c>
      <c r="G23" s="5" t="n">
        <v>79.4</v>
      </c>
      <c r="H23" s="5" t="n">
        <v>79</v>
      </c>
      <c r="I23" s="5" t="n">
        <v>79.2</v>
      </c>
      <c r="K23" s="29" t="n">
        <v>21.934</v>
      </c>
      <c r="L23" s="30" t="n">
        <v>277647</v>
      </c>
    </row>
    <row r="24" customFormat="false" ht="15" hidden="false" customHeight="true" outlineLevel="0" collapsed="false">
      <c r="A24" s="8" t="n">
        <v>22</v>
      </c>
      <c r="B24" s="28" t="n">
        <v>45718</v>
      </c>
      <c r="C24" s="8" t="s">
        <v>2</v>
      </c>
      <c r="D24" s="5" t="n">
        <v>79.2</v>
      </c>
      <c r="E24" s="5" t="n">
        <v>80</v>
      </c>
      <c r="F24" s="5" t="n">
        <v>78.4</v>
      </c>
      <c r="G24" s="5" t="n">
        <v>78.6</v>
      </c>
      <c r="H24" s="5" t="n">
        <v>79.2</v>
      </c>
      <c r="I24" s="5" t="n">
        <v>78.6</v>
      </c>
      <c r="K24" s="29" t="n">
        <v>7.125</v>
      </c>
      <c r="L24" s="30" t="n">
        <v>89963</v>
      </c>
    </row>
    <row r="25" customFormat="false" ht="15" hidden="false" customHeight="true" outlineLevel="0" collapsed="false">
      <c r="A25" s="8" t="n">
        <v>23</v>
      </c>
      <c r="B25" s="28" t="n">
        <v>45715</v>
      </c>
      <c r="C25" s="8" t="s">
        <v>2</v>
      </c>
      <c r="D25" s="5" t="n">
        <v>78.6</v>
      </c>
      <c r="E25" s="5" t="n">
        <v>80.8</v>
      </c>
      <c r="F25" s="5" t="n">
        <v>78.3</v>
      </c>
      <c r="G25" s="5" t="n">
        <v>80.8</v>
      </c>
      <c r="H25" s="5" t="n">
        <v>78.6</v>
      </c>
      <c r="I25" s="5" t="n">
        <v>80.3</v>
      </c>
      <c r="K25" s="29" t="n">
        <v>27.669</v>
      </c>
      <c r="L25" s="30" t="n">
        <v>352026</v>
      </c>
    </row>
    <row r="26" customFormat="false" ht="15" hidden="false" customHeight="true" outlineLevel="0" collapsed="false">
      <c r="A26" s="8" t="n">
        <v>24</v>
      </c>
      <c r="B26" s="28" t="n">
        <v>45714</v>
      </c>
      <c r="C26" s="8" t="s">
        <v>2</v>
      </c>
      <c r="D26" s="5" t="n">
        <v>80.3</v>
      </c>
      <c r="E26" s="5" t="n">
        <v>81</v>
      </c>
      <c r="F26" s="5" t="n">
        <v>78.9</v>
      </c>
      <c r="G26" s="5" t="n">
        <v>80.4</v>
      </c>
      <c r="H26" s="5" t="n">
        <v>80.3</v>
      </c>
      <c r="I26" s="5" t="n">
        <v>79.9</v>
      </c>
      <c r="K26" s="29" t="n">
        <v>95.502</v>
      </c>
      <c r="L26" s="30" t="n">
        <v>1189310</v>
      </c>
    </row>
    <row r="27" customFormat="false" ht="15" hidden="false" customHeight="true" outlineLevel="0" collapsed="false">
      <c r="A27" s="8" t="n">
        <v>25</v>
      </c>
      <c r="B27" s="28" t="n">
        <v>45713</v>
      </c>
      <c r="C27" s="8" t="s">
        <v>2</v>
      </c>
      <c r="D27" s="5" t="n">
        <v>79.9</v>
      </c>
      <c r="E27" s="5" t="n">
        <v>82.9</v>
      </c>
      <c r="F27" s="5" t="n">
        <v>77.9</v>
      </c>
      <c r="G27" s="5" t="n">
        <v>78.8</v>
      </c>
      <c r="H27" s="5" t="n">
        <v>79.9</v>
      </c>
      <c r="I27" s="5" t="n">
        <v>78.5</v>
      </c>
      <c r="K27" s="29" t="n">
        <v>72.708</v>
      </c>
      <c r="L27" s="30" t="n">
        <v>909984</v>
      </c>
    </row>
    <row r="28" customFormat="false" ht="15" hidden="false" customHeight="true" outlineLevel="0" collapsed="false">
      <c r="A28" s="8" t="n">
        <v>26</v>
      </c>
      <c r="B28" s="28" t="n">
        <v>45712</v>
      </c>
      <c r="C28" s="8" t="s">
        <v>2</v>
      </c>
      <c r="D28" s="5" t="n">
        <v>78.5</v>
      </c>
      <c r="E28" s="5" t="n">
        <v>78.7</v>
      </c>
      <c r="F28" s="5" t="n">
        <v>77.2</v>
      </c>
      <c r="G28" s="5" t="n">
        <v>78.6</v>
      </c>
      <c r="H28" s="5" t="n">
        <v>78.5</v>
      </c>
      <c r="I28" s="5" t="n">
        <v>77.8</v>
      </c>
      <c r="K28" s="29" t="n">
        <v>18.217</v>
      </c>
      <c r="L28" s="30" t="n">
        <v>232063</v>
      </c>
    </row>
    <row r="29" customFormat="false" ht="15" hidden="false" customHeight="true" outlineLevel="0" collapsed="false">
      <c r="A29" s="8" t="n">
        <v>27</v>
      </c>
      <c r="B29" s="28" t="n">
        <v>45711</v>
      </c>
      <c r="C29" s="8" t="s">
        <v>2</v>
      </c>
      <c r="D29" s="5" t="n">
        <v>77.8</v>
      </c>
      <c r="E29" s="5" t="n">
        <v>78.2</v>
      </c>
      <c r="F29" s="5" t="n">
        <v>76.6</v>
      </c>
      <c r="G29" s="5" t="n">
        <v>77</v>
      </c>
      <c r="H29" s="5" t="n">
        <v>77.8</v>
      </c>
      <c r="I29" s="5" t="n">
        <v>76.7</v>
      </c>
      <c r="K29" s="29" t="n">
        <v>13.145</v>
      </c>
      <c r="L29" s="30" t="n">
        <v>168963</v>
      </c>
    </row>
    <row r="30" customFormat="false" ht="15" hidden="false" customHeight="true" outlineLevel="0" collapsed="false">
      <c r="A30" s="8" t="n">
        <v>28</v>
      </c>
      <c r="B30" s="28" t="n">
        <v>45708</v>
      </c>
      <c r="C30" s="8" t="s">
        <v>2</v>
      </c>
      <c r="D30" s="5" t="n">
        <v>76.7</v>
      </c>
      <c r="E30" s="5" t="n">
        <v>77.5</v>
      </c>
      <c r="F30" s="5" t="n">
        <v>76.4</v>
      </c>
      <c r="G30" s="5" t="n">
        <v>77.2</v>
      </c>
      <c r="H30" s="5" t="n">
        <v>76.7</v>
      </c>
      <c r="I30" s="5" t="n">
        <v>76.6</v>
      </c>
      <c r="K30" s="29" t="n">
        <v>4.32</v>
      </c>
      <c r="L30" s="30" t="n">
        <v>56329</v>
      </c>
    </row>
    <row r="31" customFormat="false" ht="15" hidden="false" customHeight="true" outlineLevel="0" collapsed="false">
      <c r="A31" s="8" t="n">
        <v>29</v>
      </c>
      <c r="B31" s="28" t="n">
        <v>45707</v>
      </c>
      <c r="C31" s="8" t="s">
        <v>2</v>
      </c>
      <c r="D31" s="5" t="n">
        <v>76.6</v>
      </c>
      <c r="E31" s="5" t="n">
        <v>78.2</v>
      </c>
      <c r="F31" s="5" t="n">
        <v>76.2</v>
      </c>
      <c r="G31" s="5" t="n">
        <v>78</v>
      </c>
      <c r="H31" s="5" t="n">
        <v>76.6</v>
      </c>
      <c r="I31" s="5" t="n">
        <v>78</v>
      </c>
      <c r="K31" s="29" t="n">
        <v>6.079</v>
      </c>
      <c r="L31" s="30" t="n">
        <v>79361</v>
      </c>
    </row>
    <row r="32" customFormat="false" ht="15" hidden="false" customHeight="true" outlineLevel="0" collapsed="false">
      <c r="A32" s="8" t="n">
        <v>30</v>
      </c>
      <c r="B32" s="28" t="n">
        <v>45706</v>
      </c>
      <c r="C32" s="8" t="s">
        <v>2</v>
      </c>
      <c r="D32" s="5" t="n">
        <v>78</v>
      </c>
      <c r="E32" s="5" t="n">
        <v>78.5</v>
      </c>
      <c r="F32" s="5" t="n">
        <v>77.4</v>
      </c>
      <c r="G32" s="5" t="n">
        <v>78.1</v>
      </c>
      <c r="H32" s="5" t="n">
        <v>78</v>
      </c>
      <c r="I32" s="5" t="n">
        <v>77.8</v>
      </c>
      <c r="K32" s="29" t="n">
        <v>13.467</v>
      </c>
      <c r="L32" s="30" t="n">
        <v>172656</v>
      </c>
    </row>
    <row r="33" customFormat="false" ht="15" hidden="false" customHeight="true" outlineLevel="0" collapsed="false">
      <c r="A33" s="8" t="n">
        <v>31</v>
      </c>
      <c r="B33" s="28" t="n">
        <v>45705</v>
      </c>
      <c r="C33" s="8" t="s">
        <v>2</v>
      </c>
      <c r="D33" s="5" t="n">
        <v>77.8</v>
      </c>
      <c r="E33" s="5" t="n">
        <v>78.1</v>
      </c>
      <c r="F33" s="5" t="n">
        <v>76.5</v>
      </c>
      <c r="G33" s="5" t="n">
        <v>76.7</v>
      </c>
      <c r="H33" s="5" t="n">
        <v>77.8</v>
      </c>
      <c r="I33" s="5" t="n">
        <v>76.5</v>
      </c>
      <c r="K33" s="29" t="n">
        <v>14.3</v>
      </c>
      <c r="L33" s="30" t="n">
        <v>183807</v>
      </c>
    </row>
    <row r="34" customFormat="false" ht="15" hidden="false" customHeight="true" outlineLevel="0" collapsed="false">
      <c r="A34" s="8" t="n">
        <v>32</v>
      </c>
      <c r="B34" s="28" t="n">
        <v>45704</v>
      </c>
      <c r="C34" s="8" t="s">
        <v>2</v>
      </c>
      <c r="D34" s="5" t="n">
        <v>76.5</v>
      </c>
      <c r="E34" s="5" t="n">
        <v>76.9</v>
      </c>
      <c r="F34" s="5" t="n">
        <v>76.3</v>
      </c>
      <c r="G34" s="5" t="n">
        <v>76.9</v>
      </c>
      <c r="H34" s="5" t="n">
        <v>76.5</v>
      </c>
      <c r="I34" s="5" t="n">
        <v>76.4</v>
      </c>
      <c r="K34" s="29" t="n">
        <v>10.473</v>
      </c>
      <c r="L34" s="30" t="n">
        <v>136896</v>
      </c>
    </row>
    <row r="35" customFormat="false" ht="15" hidden="false" customHeight="true" outlineLevel="0" collapsed="false">
      <c r="A35" s="8" t="n">
        <v>33</v>
      </c>
      <c r="B35" s="28" t="n">
        <v>45701</v>
      </c>
      <c r="C35" s="8" t="s">
        <v>2</v>
      </c>
      <c r="D35" s="5" t="n">
        <v>76.4</v>
      </c>
      <c r="E35" s="5" t="n">
        <v>77.1</v>
      </c>
      <c r="F35" s="5" t="n">
        <v>76.2</v>
      </c>
      <c r="G35" s="5" t="n">
        <v>76.4</v>
      </c>
      <c r="H35" s="5" t="n">
        <v>76.4</v>
      </c>
      <c r="I35" s="5" t="n">
        <v>76.6</v>
      </c>
      <c r="K35" s="29" t="n">
        <v>6.226</v>
      </c>
      <c r="L35" s="30" t="n">
        <v>81492</v>
      </c>
    </row>
    <row r="36" customFormat="false" ht="15" hidden="false" customHeight="true" outlineLevel="0" collapsed="false">
      <c r="A36" s="8" t="n">
        <v>34</v>
      </c>
      <c r="B36" s="28" t="n">
        <v>45700</v>
      </c>
      <c r="C36" s="8" t="s">
        <v>2</v>
      </c>
      <c r="D36" s="5" t="n">
        <v>76.6</v>
      </c>
      <c r="E36" s="5" t="n">
        <v>77.5</v>
      </c>
      <c r="F36" s="5" t="n">
        <v>76.2</v>
      </c>
      <c r="G36" s="5" t="n">
        <v>76.6</v>
      </c>
      <c r="H36" s="5" t="n">
        <v>76.6</v>
      </c>
      <c r="I36" s="5" t="n">
        <v>76.6</v>
      </c>
      <c r="K36" s="29" t="n">
        <v>3.779</v>
      </c>
      <c r="L36" s="30" t="n">
        <v>49331</v>
      </c>
    </row>
    <row r="37" customFormat="false" ht="15" hidden="false" customHeight="true" outlineLevel="0" collapsed="false">
      <c r="A37" s="8" t="n">
        <v>35</v>
      </c>
      <c r="B37" s="28" t="n">
        <v>45699</v>
      </c>
      <c r="C37" s="8" t="s">
        <v>2</v>
      </c>
      <c r="D37" s="5" t="n">
        <v>76.6</v>
      </c>
      <c r="E37" s="5" t="n">
        <v>77.8</v>
      </c>
      <c r="F37" s="5" t="n">
        <v>76.2</v>
      </c>
      <c r="G37" s="5" t="n">
        <v>76.2</v>
      </c>
      <c r="H37" s="5" t="n">
        <v>76.6</v>
      </c>
      <c r="I37" s="5" t="n">
        <v>76.2</v>
      </c>
      <c r="K37" s="29" t="n">
        <v>7.135</v>
      </c>
      <c r="L37" s="30" t="n">
        <v>93148</v>
      </c>
    </row>
    <row r="38" customFormat="false" ht="15" hidden="false" customHeight="true" outlineLevel="0" collapsed="false">
      <c r="A38" s="8" t="n">
        <v>36</v>
      </c>
      <c r="B38" s="28" t="n">
        <v>45698</v>
      </c>
      <c r="C38" s="8" t="s">
        <v>2</v>
      </c>
      <c r="D38" s="5" t="n">
        <v>76.2</v>
      </c>
      <c r="E38" s="5" t="n">
        <v>78</v>
      </c>
      <c r="F38" s="5" t="n">
        <v>75.5</v>
      </c>
      <c r="G38" s="5" t="n">
        <v>77.9</v>
      </c>
      <c r="H38" s="5" t="n">
        <v>76.2</v>
      </c>
      <c r="I38" s="5" t="n">
        <v>77.2</v>
      </c>
      <c r="K38" s="29" t="n">
        <v>7.775</v>
      </c>
      <c r="L38" s="30" t="n">
        <v>102030</v>
      </c>
    </row>
    <row r="39" customFormat="false" ht="15" hidden="false" customHeight="true" outlineLevel="0" collapsed="false">
      <c r="A39" s="8" t="n">
        <v>37</v>
      </c>
      <c r="B39" s="28" t="n">
        <v>45697</v>
      </c>
      <c r="C39" s="8" t="s">
        <v>2</v>
      </c>
      <c r="D39" s="5" t="n">
        <v>77.2</v>
      </c>
      <c r="E39" s="5" t="n">
        <v>77.8</v>
      </c>
      <c r="F39" s="5" t="n">
        <v>76</v>
      </c>
      <c r="G39" s="5" t="n">
        <v>77.8</v>
      </c>
      <c r="H39" s="5" t="n">
        <v>77.2</v>
      </c>
      <c r="I39" s="5" t="n">
        <v>77.1</v>
      </c>
      <c r="K39" s="29" t="n">
        <v>9.501</v>
      </c>
      <c r="L39" s="30" t="n">
        <v>123074</v>
      </c>
    </row>
    <row r="40" customFormat="false" ht="15" hidden="false" customHeight="true" outlineLevel="0" collapsed="false">
      <c r="A40" s="8" t="n">
        <v>38</v>
      </c>
      <c r="B40" s="28" t="n">
        <v>45694</v>
      </c>
      <c r="C40" s="8" t="s">
        <v>2</v>
      </c>
      <c r="D40" s="5" t="n">
        <v>77.1</v>
      </c>
      <c r="E40" s="5" t="n">
        <v>79.3</v>
      </c>
      <c r="F40" s="5" t="n">
        <v>77</v>
      </c>
      <c r="G40" s="5" t="n">
        <v>78.5</v>
      </c>
      <c r="H40" s="5" t="n">
        <v>77.1</v>
      </c>
      <c r="I40" s="5" t="n">
        <v>78.7</v>
      </c>
      <c r="K40" s="29" t="n">
        <v>9.686</v>
      </c>
      <c r="L40" s="30" t="n">
        <v>125633</v>
      </c>
    </row>
    <row r="41" customFormat="false" ht="15" hidden="false" customHeight="true" outlineLevel="0" collapsed="false">
      <c r="A41" s="8" t="n">
        <v>39</v>
      </c>
      <c r="B41" s="28" t="n">
        <v>45693</v>
      </c>
      <c r="C41" s="8" t="s">
        <v>2</v>
      </c>
      <c r="D41" s="5" t="n">
        <v>78.7</v>
      </c>
      <c r="E41" s="5" t="n">
        <v>79</v>
      </c>
      <c r="F41" s="5" t="n">
        <v>77.8</v>
      </c>
      <c r="G41" s="5" t="n">
        <v>78.5</v>
      </c>
      <c r="H41" s="5" t="n">
        <v>78.7</v>
      </c>
      <c r="I41" s="5" t="n">
        <v>78.3</v>
      </c>
      <c r="K41" s="29" t="n">
        <v>24.755</v>
      </c>
      <c r="L41" s="30" t="n">
        <v>314546</v>
      </c>
    </row>
    <row r="42" customFormat="false" ht="15" hidden="false" customHeight="true" outlineLevel="0" collapsed="false">
      <c r="A42" s="8" t="n">
        <v>40</v>
      </c>
      <c r="B42" s="28" t="n">
        <v>45692</v>
      </c>
      <c r="C42" s="8" t="s">
        <v>2</v>
      </c>
      <c r="D42" s="5" t="n">
        <v>78.3</v>
      </c>
      <c r="E42" s="5" t="n">
        <v>78.7</v>
      </c>
      <c r="F42" s="5" t="n">
        <v>76.8</v>
      </c>
      <c r="G42" s="5" t="n">
        <v>77</v>
      </c>
      <c r="H42" s="5" t="n">
        <v>78.3</v>
      </c>
      <c r="I42" s="5" t="n">
        <v>76.8</v>
      </c>
      <c r="K42" s="29" t="n">
        <v>65.234</v>
      </c>
      <c r="L42" s="30" t="n">
        <v>833135</v>
      </c>
    </row>
    <row r="43" customFormat="false" ht="15" hidden="false" customHeight="true" outlineLevel="0" collapsed="false">
      <c r="A43" s="8" t="n">
        <v>41</v>
      </c>
      <c r="B43" s="28" t="n">
        <v>45691</v>
      </c>
      <c r="C43" s="8" t="s">
        <v>2</v>
      </c>
      <c r="D43" s="5" t="n">
        <v>76.8</v>
      </c>
      <c r="E43" s="5" t="n">
        <v>77</v>
      </c>
      <c r="F43" s="5" t="n">
        <v>76.3</v>
      </c>
      <c r="G43" s="5" t="n">
        <v>76.8</v>
      </c>
      <c r="H43" s="5" t="n">
        <v>76.8</v>
      </c>
      <c r="I43" s="5" t="n">
        <v>76.3</v>
      </c>
      <c r="K43" s="29" t="n">
        <v>10.928</v>
      </c>
      <c r="L43" s="30" t="n">
        <v>142290</v>
      </c>
    </row>
    <row r="44" customFormat="false" ht="15" hidden="false" customHeight="true" outlineLevel="0" collapsed="false">
      <c r="A44" s="8" t="n">
        <v>42</v>
      </c>
      <c r="B44" s="28" t="n">
        <v>45690</v>
      </c>
      <c r="C44" s="8" t="s">
        <v>2</v>
      </c>
      <c r="D44" s="5" t="n">
        <v>76.3</v>
      </c>
      <c r="E44" s="5" t="n">
        <v>76.8</v>
      </c>
      <c r="F44" s="5" t="n">
        <v>75.3</v>
      </c>
      <c r="G44" s="5" t="n">
        <v>75.3</v>
      </c>
      <c r="H44" s="5" t="n">
        <v>76.3</v>
      </c>
      <c r="I44" s="5" t="n">
        <v>75.6</v>
      </c>
      <c r="K44" s="29" t="n">
        <v>14.179</v>
      </c>
      <c r="L44" s="30" t="n">
        <v>185837</v>
      </c>
    </row>
    <row r="45" customFormat="false" ht="15" hidden="false" customHeight="true" outlineLevel="0" collapsed="false">
      <c r="A45" s="8" t="n">
        <v>43</v>
      </c>
      <c r="B45" s="28" t="n">
        <v>45687</v>
      </c>
      <c r="C45" s="8" t="s">
        <v>2</v>
      </c>
      <c r="D45" s="5" t="n">
        <v>75.6</v>
      </c>
      <c r="E45" s="5" t="n">
        <v>76.2</v>
      </c>
      <c r="F45" s="5" t="n">
        <v>75.2</v>
      </c>
      <c r="G45" s="5" t="n">
        <v>76</v>
      </c>
      <c r="H45" s="5" t="n">
        <v>75.6</v>
      </c>
      <c r="I45" s="5" t="n">
        <v>75.2</v>
      </c>
      <c r="K45" s="29" t="n">
        <v>19.142</v>
      </c>
      <c r="L45" s="30" t="n">
        <v>253205</v>
      </c>
    </row>
    <row r="46" customFormat="false" ht="15" hidden="false" customHeight="true" outlineLevel="0" collapsed="false">
      <c r="A46" s="8" t="n">
        <v>44</v>
      </c>
      <c r="B46" s="28" t="n">
        <v>45686</v>
      </c>
      <c r="C46" s="8" t="s">
        <v>2</v>
      </c>
      <c r="D46" s="5" t="n">
        <v>75.2</v>
      </c>
      <c r="E46" s="5" t="n">
        <v>76.5</v>
      </c>
      <c r="F46" s="5" t="n">
        <v>75</v>
      </c>
      <c r="G46" s="5" t="n">
        <v>75</v>
      </c>
      <c r="H46" s="5" t="n">
        <v>75.2</v>
      </c>
      <c r="I46" s="5" t="n">
        <v>76.6</v>
      </c>
      <c r="K46" s="29" t="n">
        <v>44.034</v>
      </c>
      <c r="L46" s="30" t="n">
        <v>585558</v>
      </c>
    </row>
    <row r="47" customFormat="false" ht="15" hidden="false" customHeight="true" outlineLevel="0" collapsed="false">
      <c r="A47" s="8" t="n">
        <v>45</v>
      </c>
      <c r="B47" s="28" t="n">
        <v>45685</v>
      </c>
      <c r="C47" s="8" t="s">
        <v>2</v>
      </c>
      <c r="D47" s="5" t="n">
        <v>76.6</v>
      </c>
      <c r="E47" s="5" t="n">
        <v>77.2</v>
      </c>
      <c r="F47" s="5" t="n">
        <v>75.3</v>
      </c>
      <c r="G47" s="5" t="n">
        <v>75.3</v>
      </c>
      <c r="H47" s="5" t="n">
        <v>76.6</v>
      </c>
      <c r="I47" s="5" t="n">
        <v>75.5</v>
      </c>
      <c r="K47" s="29" t="n">
        <v>12.645</v>
      </c>
      <c r="L47" s="30" t="n">
        <v>165082</v>
      </c>
    </row>
    <row r="48" customFormat="false" ht="15" hidden="false" customHeight="true" outlineLevel="0" collapsed="false">
      <c r="A48" s="8" t="n">
        <v>46</v>
      </c>
      <c r="B48" s="28" t="n">
        <v>45684</v>
      </c>
      <c r="C48" s="8" t="s">
        <v>2</v>
      </c>
      <c r="D48" s="5" t="n">
        <v>75.5</v>
      </c>
      <c r="E48" s="5" t="n">
        <v>75.7</v>
      </c>
      <c r="F48" s="5" t="n">
        <v>75</v>
      </c>
      <c r="G48" s="5" t="n">
        <v>75.4</v>
      </c>
      <c r="H48" s="5" t="n">
        <v>75.5</v>
      </c>
      <c r="I48" s="5" t="n">
        <v>75.1</v>
      </c>
      <c r="K48" s="29" t="n">
        <v>9.438</v>
      </c>
      <c r="L48" s="30" t="n">
        <v>125006</v>
      </c>
    </row>
    <row r="49" customFormat="false" ht="15" hidden="false" customHeight="true" outlineLevel="0" collapsed="false">
      <c r="A49" s="8" t="n">
        <v>47</v>
      </c>
      <c r="B49" s="28" t="n">
        <v>45683</v>
      </c>
      <c r="C49" s="8" t="s">
        <v>2</v>
      </c>
      <c r="D49" s="5" t="n">
        <v>75.1</v>
      </c>
      <c r="E49" s="5" t="n">
        <v>78.4</v>
      </c>
      <c r="F49" s="5" t="n">
        <v>74.8</v>
      </c>
      <c r="G49" s="5" t="n">
        <v>78.4</v>
      </c>
      <c r="H49" s="5" t="n">
        <v>75.1</v>
      </c>
      <c r="I49" s="5" t="n">
        <v>76.8</v>
      </c>
      <c r="K49" s="29" t="n">
        <v>12.816</v>
      </c>
      <c r="L49" s="30" t="n">
        <v>170650</v>
      </c>
    </row>
    <row r="50" customFormat="false" ht="15" hidden="false" customHeight="true" outlineLevel="0" collapsed="false">
      <c r="A50" s="8" t="n">
        <v>48</v>
      </c>
      <c r="B50" s="28" t="n">
        <v>45680</v>
      </c>
      <c r="C50" s="8" t="s">
        <v>2</v>
      </c>
      <c r="D50" s="5" t="n">
        <v>76.8</v>
      </c>
      <c r="E50" s="5" t="n">
        <v>79.3</v>
      </c>
      <c r="F50" s="5" t="n">
        <v>76.5</v>
      </c>
      <c r="G50" s="5" t="n">
        <v>76.6</v>
      </c>
      <c r="H50" s="5" t="n">
        <v>76.8</v>
      </c>
      <c r="I50" s="5" t="n">
        <v>78.3</v>
      </c>
      <c r="K50" s="29" t="n">
        <v>9.527</v>
      </c>
      <c r="L50" s="30" t="n">
        <v>124045</v>
      </c>
    </row>
    <row r="51" customFormat="false" ht="15" hidden="false" customHeight="true" outlineLevel="0" collapsed="false">
      <c r="A51" s="8" t="n">
        <v>49</v>
      </c>
      <c r="B51" s="28" t="n">
        <v>45679</v>
      </c>
      <c r="C51" s="8" t="s">
        <v>2</v>
      </c>
      <c r="D51" s="5" t="n">
        <v>78.3</v>
      </c>
      <c r="E51" s="5" t="n">
        <v>78.7</v>
      </c>
      <c r="F51" s="5" t="n">
        <v>77.6</v>
      </c>
      <c r="G51" s="5" t="n">
        <v>78</v>
      </c>
      <c r="H51" s="5" t="n">
        <v>78.3</v>
      </c>
      <c r="I51" s="5" t="n">
        <v>78.8</v>
      </c>
      <c r="K51" s="29" t="n">
        <v>36.171</v>
      </c>
      <c r="L51" s="30" t="n">
        <v>461960</v>
      </c>
    </row>
    <row r="52" customFormat="false" ht="15" hidden="false" customHeight="true" outlineLevel="0" collapsed="false">
      <c r="A52" s="8" t="n">
        <v>50</v>
      </c>
      <c r="B52" s="28" t="n">
        <v>45678</v>
      </c>
      <c r="C52" s="8" t="s">
        <v>2</v>
      </c>
      <c r="D52" s="5" t="n">
        <v>78.8</v>
      </c>
      <c r="E52" s="5" t="n">
        <v>79.8</v>
      </c>
      <c r="F52" s="5" t="n">
        <v>77.3</v>
      </c>
      <c r="G52" s="5" t="n">
        <v>77.3</v>
      </c>
      <c r="H52" s="5" t="n">
        <v>78.8</v>
      </c>
      <c r="I52" s="5" t="n">
        <v>77.1</v>
      </c>
      <c r="K52" s="29" t="n">
        <v>65.013</v>
      </c>
      <c r="L52" s="30" t="n">
        <v>825041</v>
      </c>
    </row>
    <row r="53" customFormat="false" ht="15" hidden="false" customHeight="true" outlineLevel="0" collapsed="false">
      <c r="A53" s="8" t="n">
        <v>51</v>
      </c>
      <c r="B53" s="28" t="n">
        <v>45677</v>
      </c>
      <c r="C53" s="8" t="s">
        <v>2</v>
      </c>
      <c r="D53" s="5" t="n">
        <v>77.1</v>
      </c>
      <c r="E53" s="5" t="n">
        <v>77.4</v>
      </c>
      <c r="F53" s="5" t="n">
        <v>75.4</v>
      </c>
      <c r="G53" s="5" t="n">
        <v>75.4</v>
      </c>
      <c r="H53" s="5" t="n">
        <v>77.1</v>
      </c>
      <c r="I53" s="5" t="n">
        <v>74.9</v>
      </c>
      <c r="K53" s="29" t="n">
        <v>20.373</v>
      </c>
      <c r="L53" s="30" t="n">
        <v>264237</v>
      </c>
    </row>
    <row r="54" customFormat="false" ht="15" hidden="false" customHeight="true" outlineLevel="0" collapsed="false">
      <c r="A54" s="8" t="n">
        <v>52</v>
      </c>
      <c r="B54" s="28" t="n">
        <v>45676</v>
      </c>
      <c r="C54" s="8" t="s">
        <v>2</v>
      </c>
      <c r="D54" s="5" t="n">
        <v>74.9</v>
      </c>
      <c r="E54" s="5" t="n">
        <v>76</v>
      </c>
      <c r="F54" s="5" t="n">
        <v>74.8</v>
      </c>
      <c r="G54" s="5" t="n">
        <v>74.9</v>
      </c>
      <c r="H54" s="5" t="n">
        <v>74.9</v>
      </c>
      <c r="I54" s="5" t="n">
        <v>75.1</v>
      </c>
      <c r="K54" s="29" t="n">
        <v>12.998</v>
      </c>
      <c r="L54" s="30" t="n">
        <v>173536</v>
      </c>
    </row>
    <row r="55" customFormat="false" ht="15" hidden="false" customHeight="true" outlineLevel="0" collapsed="false">
      <c r="A55" s="8" t="n">
        <v>53</v>
      </c>
      <c r="B55" s="28" t="n">
        <v>45673</v>
      </c>
      <c r="C55" s="8" t="s">
        <v>2</v>
      </c>
      <c r="D55" s="5" t="n">
        <v>75.1</v>
      </c>
      <c r="E55" s="5" t="n">
        <v>76.7</v>
      </c>
      <c r="F55" s="5" t="n">
        <v>74.9</v>
      </c>
      <c r="G55" s="5" t="n">
        <v>76.7</v>
      </c>
      <c r="H55" s="5" t="n">
        <v>75.1</v>
      </c>
      <c r="I55" s="5" t="n">
        <v>76.2</v>
      </c>
      <c r="K55" s="29" t="n">
        <v>14.186</v>
      </c>
      <c r="L55" s="30" t="n">
        <v>188891</v>
      </c>
    </row>
    <row r="56" customFormat="false" ht="15" hidden="false" customHeight="true" outlineLevel="0" collapsed="false">
      <c r="A56" s="8" t="n">
        <v>54</v>
      </c>
      <c r="B56" s="28" t="n">
        <v>45672</v>
      </c>
      <c r="C56" s="8" t="s">
        <v>2</v>
      </c>
      <c r="D56" s="5" t="n">
        <v>76.2</v>
      </c>
      <c r="E56" s="5" t="n">
        <v>76.8</v>
      </c>
      <c r="F56" s="5" t="n">
        <v>75.3</v>
      </c>
      <c r="G56" s="5" t="n">
        <v>76</v>
      </c>
      <c r="H56" s="5" t="n">
        <v>76.2</v>
      </c>
      <c r="I56" s="5" t="n">
        <v>75.6</v>
      </c>
      <c r="K56" s="29" t="n">
        <v>15.791</v>
      </c>
      <c r="L56" s="30" t="n">
        <v>207225</v>
      </c>
    </row>
    <row r="57" customFormat="false" ht="15" hidden="false" customHeight="true" outlineLevel="0" collapsed="false">
      <c r="A57" s="8" t="n">
        <v>55</v>
      </c>
      <c r="B57" s="28" t="n">
        <v>45671</v>
      </c>
      <c r="C57" s="8" t="s">
        <v>2</v>
      </c>
      <c r="D57" s="5" t="n">
        <v>75.6</v>
      </c>
      <c r="E57" s="5" t="n">
        <v>76.5</v>
      </c>
      <c r="F57" s="5" t="n">
        <v>74.9</v>
      </c>
      <c r="G57" s="5" t="n">
        <v>76.5</v>
      </c>
      <c r="H57" s="5" t="n">
        <v>75.6</v>
      </c>
      <c r="I57" s="5" t="n">
        <v>75.3</v>
      </c>
      <c r="K57" s="29" t="n">
        <v>30.719</v>
      </c>
      <c r="L57" s="30" t="n">
        <v>406342</v>
      </c>
    </row>
    <row r="58" customFormat="false" ht="15" hidden="false" customHeight="true" outlineLevel="0" collapsed="false">
      <c r="A58" s="8" t="n">
        <v>56</v>
      </c>
      <c r="B58" s="28" t="n">
        <v>45670</v>
      </c>
      <c r="C58" s="8" t="s">
        <v>2</v>
      </c>
      <c r="D58" s="5" t="n">
        <v>75.3</v>
      </c>
      <c r="E58" s="5" t="n">
        <v>78.1</v>
      </c>
      <c r="F58" s="5" t="n">
        <v>74.5</v>
      </c>
      <c r="G58" s="5" t="n">
        <v>77.7</v>
      </c>
      <c r="H58" s="5" t="n">
        <v>75.3</v>
      </c>
      <c r="I58" s="5" t="n">
        <v>77.6</v>
      </c>
      <c r="K58" s="29" t="n">
        <v>19.579</v>
      </c>
      <c r="L58" s="30" t="n">
        <v>260010</v>
      </c>
    </row>
    <row r="59" customFormat="false" ht="15" hidden="false" customHeight="true" outlineLevel="0" collapsed="false">
      <c r="A59" s="8" t="n">
        <v>57</v>
      </c>
      <c r="B59" s="28" t="n">
        <v>45669</v>
      </c>
      <c r="C59" s="8" t="s">
        <v>2</v>
      </c>
      <c r="D59" s="5" t="n">
        <v>77.6</v>
      </c>
      <c r="E59" s="5" t="n">
        <v>78.5</v>
      </c>
      <c r="F59" s="5" t="n">
        <v>77.5</v>
      </c>
      <c r="G59" s="5" t="n">
        <v>78.2</v>
      </c>
      <c r="H59" s="5" t="n">
        <v>77.6</v>
      </c>
      <c r="I59" s="5" t="n">
        <v>78.2</v>
      </c>
      <c r="K59" s="29" t="n">
        <v>14.814</v>
      </c>
      <c r="L59" s="30" t="n">
        <v>190899</v>
      </c>
    </row>
    <row r="60" customFormat="false" ht="15" hidden="false" customHeight="true" outlineLevel="0" collapsed="false">
      <c r="A60" s="8" t="n">
        <v>58</v>
      </c>
      <c r="B60" s="28" t="n">
        <v>45666</v>
      </c>
      <c r="C60" s="8" t="s">
        <v>2</v>
      </c>
      <c r="D60" s="5" t="n">
        <v>78.2</v>
      </c>
      <c r="E60" s="5" t="n">
        <v>78.8</v>
      </c>
      <c r="F60" s="5" t="n">
        <v>78</v>
      </c>
      <c r="G60" s="5" t="n">
        <v>78.5</v>
      </c>
      <c r="H60" s="5" t="n">
        <v>78.2</v>
      </c>
      <c r="I60" s="5" t="n">
        <v>78.5</v>
      </c>
      <c r="K60" s="29" t="n">
        <v>44.304</v>
      </c>
      <c r="L60" s="30" t="n">
        <v>566543</v>
      </c>
    </row>
    <row r="61" customFormat="false" ht="15" hidden="false" customHeight="true" outlineLevel="0" collapsed="false">
      <c r="A61" s="8" t="n">
        <v>59</v>
      </c>
      <c r="B61" s="28" t="n">
        <v>45665</v>
      </c>
      <c r="C61" s="8" t="s">
        <v>2</v>
      </c>
      <c r="D61" s="5" t="n">
        <v>78.5</v>
      </c>
      <c r="E61" s="5" t="n">
        <v>79.1</v>
      </c>
      <c r="F61" s="5" t="n">
        <v>78.2</v>
      </c>
      <c r="G61" s="5" t="n">
        <v>79.1</v>
      </c>
      <c r="H61" s="5" t="n">
        <v>78.5</v>
      </c>
      <c r="I61" s="5" t="n">
        <v>79</v>
      </c>
      <c r="K61" s="29" t="n">
        <v>22.39</v>
      </c>
      <c r="L61" s="30" t="n">
        <v>285218</v>
      </c>
    </row>
    <row r="62" customFormat="false" ht="15" hidden="false" customHeight="true" outlineLevel="0" collapsed="false">
      <c r="A62" s="8" t="n">
        <v>60</v>
      </c>
      <c r="B62" s="28" t="n">
        <v>45664</v>
      </c>
      <c r="C62" s="8" t="s">
        <v>2</v>
      </c>
      <c r="D62" s="5" t="n">
        <v>79</v>
      </c>
      <c r="E62" s="5" t="n">
        <v>80.4</v>
      </c>
      <c r="F62" s="5" t="n">
        <v>78.8</v>
      </c>
      <c r="G62" s="5" t="n">
        <v>80.4</v>
      </c>
      <c r="H62" s="5" t="n">
        <v>79</v>
      </c>
      <c r="I62" s="5" t="n">
        <v>79.7</v>
      </c>
      <c r="K62" s="29" t="n">
        <v>39.517</v>
      </c>
      <c r="L62" s="30" t="n">
        <v>500218</v>
      </c>
    </row>
    <row r="63" customFormat="false" ht="15" hidden="false" customHeight="true" outlineLevel="0" collapsed="false">
      <c r="A63" s="8" t="n">
        <v>61</v>
      </c>
      <c r="B63" s="28" t="n">
        <v>45663</v>
      </c>
      <c r="C63" s="8" t="s">
        <v>2</v>
      </c>
      <c r="D63" s="5" t="n">
        <v>79.7</v>
      </c>
      <c r="E63" s="5" t="n">
        <v>80.2</v>
      </c>
      <c r="F63" s="5" t="n">
        <v>78.3</v>
      </c>
      <c r="G63" s="5" t="n">
        <v>79</v>
      </c>
      <c r="H63" s="5" t="n">
        <v>79.7</v>
      </c>
      <c r="I63" s="5" t="n">
        <v>78.9</v>
      </c>
      <c r="K63" s="29" t="n">
        <v>20.27</v>
      </c>
      <c r="L63" s="30" t="n">
        <v>254330</v>
      </c>
    </row>
    <row r="64" customFormat="false" ht="15" hidden="false" customHeight="true" outlineLevel="0" collapsed="false">
      <c r="A64" s="8" t="n">
        <v>62</v>
      </c>
      <c r="B64" s="28" t="n">
        <v>45662</v>
      </c>
      <c r="C64" s="8" t="s">
        <v>2</v>
      </c>
      <c r="D64" s="5" t="n">
        <v>78.9</v>
      </c>
      <c r="E64" s="5" t="n">
        <v>80.3</v>
      </c>
      <c r="F64" s="5" t="n">
        <v>78.7</v>
      </c>
      <c r="G64" s="5" t="n">
        <v>78.8</v>
      </c>
      <c r="H64" s="5" t="n">
        <v>78.9</v>
      </c>
      <c r="I64" s="5" t="n">
        <v>78.2</v>
      </c>
      <c r="K64" s="29" t="n">
        <v>12.873</v>
      </c>
      <c r="L64" s="30" t="n">
        <v>163150</v>
      </c>
    </row>
    <row r="65" customFormat="false" ht="15" hidden="false" customHeight="true" outlineLevel="0" collapsed="false">
      <c r="A65" s="8" t="n">
        <v>63</v>
      </c>
      <c r="B65" s="28" t="n">
        <v>45659</v>
      </c>
      <c r="C65" s="8" t="s">
        <v>2</v>
      </c>
      <c r="D65" s="5" t="n">
        <v>78.2</v>
      </c>
      <c r="E65" s="5" t="n">
        <v>81.6</v>
      </c>
      <c r="F65" s="5" t="n">
        <v>77.7</v>
      </c>
      <c r="G65" s="5" t="n">
        <v>81.6</v>
      </c>
      <c r="H65" s="5" t="n">
        <v>78.2</v>
      </c>
      <c r="I65" s="5" t="n">
        <v>81.2</v>
      </c>
      <c r="K65" s="29" t="n">
        <v>35.03</v>
      </c>
      <c r="L65" s="30" t="n">
        <v>447959</v>
      </c>
    </row>
    <row r="66" customFormat="false" ht="15" hidden="false" customHeight="true" outlineLevel="0" collapsed="false">
      <c r="A66" s="8" t="n">
        <v>64</v>
      </c>
      <c r="B66" s="28" t="n">
        <v>45658</v>
      </c>
      <c r="C66" s="8" t="s">
        <v>2</v>
      </c>
      <c r="D66" s="5" t="n">
        <v>81.2</v>
      </c>
      <c r="E66" s="5" t="n">
        <v>82.4</v>
      </c>
      <c r="F66" s="5" t="n">
        <v>81</v>
      </c>
      <c r="G66" s="5" t="n">
        <v>82.4</v>
      </c>
      <c r="H66" s="5" t="n">
        <v>81.2</v>
      </c>
      <c r="I66" s="5" t="n">
        <v>81.6</v>
      </c>
      <c r="K66" s="29" t="n">
        <v>28.688</v>
      </c>
      <c r="L66" s="30" t="n">
        <v>353299</v>
      </c>
    </row>
    <row r="67" customFormat="false" ht="15" hidden="false" customHeight="true" outlineLevel="0" collapsed="false">
      <c r="A67" s="8" t="n">
        <v>65</v>
      </c>
      <c r="B67" s="28" t="n">
        <v>45656</v>
      </c>
      <c r="C67" s="8" t="s">
        <v>2</v>
      </c>
      <c r="D67" s="5" t="n">
        <v>81.6</v>
      </c>
      <c r="E67" s="5" t="n">
        <v>82.7</v>
      </c>
      <c r="F67" s="5" t="n">
        <v>81</v>
      </c>
      <c r="G67" s="5" t="n">
        <v>82.4</v>
      </c>
      <c r="H67" s="5" t="n">
        <v>81.6</v>
      </c>
      <c r="I67" s="5" t="n">
        <v>82.1</v>
      </c>
      <c r="K67" s="29" t="n">
        <v>40.305</v>
      </c>
      <c r="L67" s="30" t="n">
        <v>493934</v>
      </c>
    </row>
    <row r="68" customFormat="false" ht="15" hidden="false" customHeight="true" outlineLevel="0" collapsed="false">
      <c r="A68" s="8" t="n">
        <v>66</v>
      </c>
      <c r="B68" s="28" t="n">
        <v>45655</v>
      </c>
      <c r="C68" s="8" t="s">
        <v>2</v>
      </c>
      <c r="D68" s="5" t="n">
        <v>82.1</v>
      </c>
      <c r="E68" s="5" t="n">
        <v>83.2</v>
      </c>
      <c r="F68" s="5" t="n">
        <v>81.8</v>
      </c>
      <c r="G68" s="5" t="n">
        <v>82.2</v>
      </c>
      <c r="H68" s="5" t="n">
        <v>82.1</v>
      </c>
      <c r="I68" s="5" t="n">
        <v>81.4</v>
      </c>
      <c r="K68" s="29" t="n">
        <v>41.775</v>
      </c>
      <c r="L68" s="30" t="n">
        <v>508835</v>
      </c>
    </row>
    <row r="69" customFormat="false" ht="15" hidden="false" customHeight="true" outlineLevel="0" collapsed="false">
      <c r="A69" s="8" t="n">
        <v>67</v>
      </c>
      <c r="B69" s="28" t="n">
        <v>45652</v>
      </c>
      <c r="C69" s="8" t="s">
        <v>2</v>
      </c>
      <c r="D69" s="5" t="n">
        <v>81.4</v>
      </c>
      <c r="E69" s="5" t="n">
        <v>82.3</v>
      </c>
      <c r="F69" s="5" t="n">
        <v>80.3</v>
      </c>
      <c r="G69" s="5" t="n">
        <v>82.3</v>
      </c>
      <c r="H69" s="5" t="n">
        <v>81.4</v>
      </c>
      <c r="I69" s="5" t="n">
        <v>81</v>
      </c>
      <c r="K69" s="29" t="n">
        <v>18.723</v>
      </c>
      <c r="L69" s="30" t="n">
        <v>230014</v>
      </c>
    </row>
    <row r="70" customFormat="false" ht="15" hidden="false" customHeight="true" outlineLevel="0" collapsed="false">
      <c r="A70" s="8" t="n">
        <v>68</v>
      </c>
      <c r="B70" s="28" t="n">
        <v>45650</v>
      </c>
      <c r="C70" s="8" t="s">
        <v>2</v>
      </c>
      <c r="D70" s="5" t="n">
        <v>81</v>
      </c>
      <c r="E70" s="5" t="n">
        <v>83.7</v>
      </c>
      <c r="F70" s="5" t="n">
        <v>80.4</v>
      </c>
      <c r="G70" s="5" t="n">
        <v>82.5</v>
      </c>
      <c r="H70" s="5" t="n">
        <v>81</v>
      </c>
      <c r="I70" s="5" t="n">
        <v>81.6</v>
      </c>
      <c r="K70" s="29" t="n">
        <v>36.831</v>
      </c>
      <c r="L70" s="30" t="n">
        <v>454702</v>
      </c>
    </row>
    <row r="71" customFormat="false" ht="15" hidden="false" customHeight="true" outlineLevel="0" collapsed="false">
      <c r="A71" s="8" t="n">
        <v>69</v>
      </c>
      <c r="B71" s="28" t="n">
        <v>45649</v>
      </c>
      <c r="C71" s="8" t="s">
        <v>2</v>
      </c>
      <c r="D71" s="5" t="n">
        <v>81.6</v>
      </c>
      <c r="E71" s="5" t="n">
        <v>84</v>
      </c>
      <c r="F71" s="5" t="n">
        <v>81</v>
      </c>
      <c r="G71" s="5" t="n">
        <v>83.3</v>
      </c>
      <c r="H71" s="5" t="n">
        <v>81.6</v>
      </c>
      <c r="I71" s="5" t="n">
        <v>83.1</v>
      </c>
      <c r="K71" s="29" t="n">
        <v>26.861</v>
      </c>
      <c r="L71" s="30" t="n">
        <v>329183</v>
      </c>
    </row>
    <row r="72" customFormat="false" ht="15" hidden="false" customHeight="true" outlineLevel="0" collapsed="false">
      <c r="A72" s="8" t="n">
        <v>70</v>
      </c>
      <c r="B72" s="28" t="n">
        <v>45648</v>
      </c>
      <c r="C72" s="8" t="s">
        <v>2</v>
      </c>
      <c r="D72" s="5" t="n">
        <v>83.1</v>
      </c>
      <c r="E72" s="5" t="n">
        <v>85.8</v>
      </c>
      <c r="F72" s="5" t="n">
        <v>82.8</v>
      </c>
      <c r="G72" s="5" t="n">
        <v>85.4</v>
      </c>
      <c r="H72" s="5" t="n">
        <v>83.1</v>
      </c>
      <c r="I72" s="5" t="n">
        <v>85</v>
      </c>
      <c r="K72" s="29" t="n">
        <v>23.251</v>
      </c>
      <c r="L72" s="30" t="n">
        <v>279798</v>
      </c>
    </row>
    <row r="73" customFormat="false" ht="15" hidden="false" customHeight="true" outlineLevel="0" collapsed="false">
      <c r="A73" s="8" t="n">
        <v>71</v>
      </c>
      <c r="B73" s="28" t="n">
        <v>45645</v>
      </c>
      <c r="C73" s="8" t="s">
        <v>2</v>
      </c>
      <c r="D73" s="5" t="n">
        <v>85</v>
      </c>
      <c r="E73" s="5" t="n">
        <v>85.8</v>
      </c>
      <c r="F73" s="5" t="n">
        <v>84.7</v>
      </c>
      <c r="G73" s="5" t="n">
        <v>85.8</v>
      </c>
      <c r="H73" s="5" t="n">
        <v>85</v>
      </c>
      <c r="I73" s="5" t="n">
        <v>85</v>
      </c>
      <c r="K73" s="29" t="n">
        <v>36.597</v>
      </c>
      <c r="L73" s="30" t="n">
        <v>430549</v>
      </c>
    </row>
    <row r="74" customFormat="false" ht="15" hidden="false" customHeight="true" outlineLevel="0" collapsed="false">
      <c r="A74" s="8" t="n">
        <v>72</v>
      </c>
      <c r="B74" s="28" t="n">
        <v>45644</v>
      </c>
      <c r="C74" s="8" t="s">
        <v>2</v>
      </c>
      <c r="D74" s="5" t="n">
        <v>85</v>
      </c>
      <c r="E74" s="5" t="n">
        <v>86.2</v>
      </c>
      <c r="F74" s="5" t="n">
        <v>84.2</v>
      </c>
      <c r="G74" s="5" t="n">
        <v>85</v>
      </c>
      <c r="H74" s="5" t="n">
        <v>85</v>
      </c>
      <c r="I74" s="5" t="n">
        <v>84.5</v>
      </c>
      <c r="K74" s="29" t="n">
        <v>80.324</v>
      </c>
      <c r="L74" s="30" t="n">
        <v>944987</v>
      </c>
    </row>
    <row r="75" customFormat="false" ht="15" hidden="false" customHeight="true" outlineLevel="0" collapsed="false">
      <c r="A75" s="8" t="n">
        <v>73</v>
      </c>
      <c r="B75" s="28" t="n">
        <v>45643</v>
      </c>
      <c r="C75" s="8" t="s">
        <v>2</v>
      </c>
      <c r="D75" s="5" t="n">
        <v>84.5</v>
      </c>
      <c r="E75" s="5" t="n">
        <v>87.5</v>
      </c>
      <c r="F75" s="5" t="n">
        <v>84</v>
      </c>
      <c r="G75" s="5" t="n">
        <v>84</v>
      </c>
      <c r="H75" s="5" t="n">
        <v>84.5</v>
      </c>
      <c r="I75" s="5" t="n">
        <v>84.2</v>
      </c>
      <c r="K75" s="29" t="n">
        <v>72.773</v>
      </c>
      <c r="L75" s="30" t="n">
        <v>861216</v>
      </c>
    </row>
    <row r="76" customFormat="false" ht="15" hidden="false" customHeight="true" outlineLevel="0" collapsed="false">
      <c r="A76" s="8" t="n">
        <v>74</v>
      </c>
      <c r="B76" s="28" t="n">
        <v>45641</v>
      </c>
      <c r="C76" s="8" t="s">
        <v>2</v>
      </c>
      <c r="D76" s="5" t="n">
        <v>84.2</v>
      </c>
      <c r="E76" s="5" t="n">
        <v>85.3</v>
      </c>
      <c r="F76" s="5" t="n">
        <v>83.5</v>
      </c>
      <c r="G76" s="5" t="n">
        <v>84.7</v>
      </c>
      <c r="H76" s="5" t="n">
        <v>84.2</v>
      </c>
      <c r="I76" s="5" t="n">
        <v>84.3</v>
      </c>
      <c r="K76" s="29" t="n">
        <v>35.865</v>
      </c>
      <c r="L76" s="30" t="n">
        <v>425951</v>
      </c>
    </row>
    <row r="77" customFormat="false" ht="15" hidden="false" customHeight="true" outlineLevel="0" collapsed="false">
      <c r="A77" s="8" t="n">
        <v>75</v>
      </c>
      <c r="B77" s="28" t="n">
        <v>45638</v>
      </c>
      <c r="C77" s="8" t="s">
        <v>2</v>
      </c>
      <c r="D77" s="5" t="n">
        <v>84.3</v>
      </c>
      <c r="E77" s="5" t="n">
        <v>86.5</v>
      </c>
      <c r="F77" s="5" t="n">
        <v>83.7</v>
      </c>
      <c r="G77" s="5" t="n">
        <v>86</v>
      </c>
      <c r="H77" s="5" t="n">
        <v>84.3</v>
      </c>
      <c r="I77" s="5" t="n">
        <v>86.4</v>
      </c>
      <c r="K77" s="29" t="n">
        <v>51.326</v>
      </c>
      <c r="L77" s="30" t="n">
        <v>608852</v>
      </c>
    </row>
    <row r="78" customFormat="false" ht="15" hidden="false" customHeight="true" outlineLevel="0" collapsed="false">
      <c r="A78" s="8" t="n">
        <v>76</v>
      </c>
      <c r="B78" s="28" t="n">
        <v>45637</v>
      </c>
      <c r="C78" s="8" t="s">
        <v>2</v>
      </c>
      <c r="D78" s="5" t="n">
        <v>86.4</v>
      </c>
      <c r="E78" s="5" t="n">
        <v>88.1</v>
      </c>
      <c r="F78" s="5" t="n">
        <v>84.1</v>
      </c>
      <c r="G78" s="5" t="n">
        <v>85.4</v>
      </c>
      <c r="H78" s="5" t="n">
        <v>86.4</v>
      </c>
      <c r="I78" s="5" t="n">
        <v>85.6</v>
      </c>
      <c r="K78" s="29" t="n">
        <v>97.839</v>
      </c>
      <c r="L78" s="30" t="n">
        <v>1132397</v>
      </c>
    </row>
    <row r="79" customFormat="false" ht="15" hidden="false" customHeight="true" outlineLevel="0" collapsed="false">
      <c r="A79" s="8" t="n">
        <v>77</v>
      </c>
      <c r="B79" s="28" t="n">
        <v>45636</v>
      </c>
      <c r="C79" s="8" t="s">
        <v>2</v>
      </c>
      <c r="D79" s="5" t="n">
        <v>85.6</v>
      </c>
      <c r="E79" s="5" t="n">
        <v>86</v>
      </c>
      <c r="F79" s="5" t="n">
        <v>82.9</v>
      </c>
      <c r="G79" s="5" t="n">
        <v>84</v>
      </c>
      <c r="H79" s="5" t="n">
        <v>85.6</v>
      </c>
      <c r="I79" s="5" t="n">
        <v>83.5</v>
      </c>
      <c r="K79" s="29" t="n">
        <v>103.966</v>
      </c>
      <c r="L79" s="30" t="n">
        <v>1214553</v>
      </c>
    </row>
    <row r="80" customFormat="false" ht="15" hidden="false" customHeight="true" outlineLevel="0" collapsed="false">
      <c r="A80" s="8" t="n">
        <v>78</v>
      </c>
      <c r="B80" s="28" t="n">
        <v>45635</v>
      </c>
      <c r="C80" s="8" t="s">
        <v>2</v>
      </c>
      <c r="D80" s="5" t="n">
        <v>83.5</v>
      </c>
      <c r="E80" s="5" t="n">
        <v>83.8</v>
      </c>
      <c r="F80" s="5" t="n">
        <v>83</v>
      </c>
      <c r="G80" s="5" t="n">
        <v>83</v>
      </c>
      <c r="H80" s="5" t="n">
        <v>83.5</v>
      </c>
      <c r="I80" s="5" t="n">
        <v>82.9</v>
      </c>
      <c r="K80" s="29" t="n">
        <v>33.612</v>
      </c>
      <c r="L80" s="30" t="n">
        <v>402535</v>
      </c>
    </row>
    <row r="81" customFormat="false" ht="15" hidden="false" customHeight="true" outlineLevel="0" collapsed="false">
      <c r="A81" s="8" t="n">
        <v>79</v>
      </c>
      <c r="B81" s="28" t="n">
        <v>45634</v>
      </c>
      <c r="C81" s="8" t="s">
        <v>2</v>
      </c>
      <c r="D81" s="5" t="n">
        <v>82.9</v>
      </c>
      <c r="E81" s="5" t="n">
        <v>83.4</v>
      </c>
      <c r="F81" s="5" t="n">
        <v>81.4</v>
      </c>
      <c r="G81" s="5" t="n">
        <v>82.1</v>
      </c>
      <c r="H81" s="5" t="n">
        <v>82.9</v>
      </c>
      <c r="I81" s="5" t="n">
        <v>82.1</v>
      </c>
      <c r="K81" s="29" t="n">
        <v>37.055</v>
      </c>
      <c r="L81" s="30" t="n">
        <v>446985</v>
      </c>
    </row>
    <row r="82" customFormat="false" ht="15" hidden="false" customHeight="true" outlineLevel="0" collapsed="false">
      <c r="A82" s="8" t="n">
        <v>80</v>
      </c>
      <c r="B82" s="28" t="n">
        <v>45631</v>
      </c>
      <c r="C82" s="8" t="s">
        <v>2</v>
      </c>
      <c r="D82" s="5" t="n">
        <v>82.1</v>
      </c>
      <c r="E82" s="5" t="n">
        <v>83.8</v>
      </c>
      <c r="F82" s="5" t="n">
        <v>81.7</v>
      </c>
      <c r="G82" s="5" t="n">
        <v>83.8</v>
      </c>
      <c r="H82" s="5" t="n">
        <v>82.1</v>
      </c>
      <c r="I82" s="5" t="n">
        <v>83.2</v>
      </c>
      <c r="K82" s="29" t="n">
        <v>40.218</v>
      </c>
      <c r="L82" s="30" t="n">
        <v>489865</v>
      </c>
    </row>
    <row r="83" customFormat="false" ht="15" hidden="false" customHeight="true" outlineLevel="0" collapsed="false">
      <c r="A83" s="8" t="n">
        <v>81</v>
      </c>
      <c r="B83" s="28" t="n">
        <v>45630</v>
      </c>
      <c r="C83" s="8" t="s">
        <v>2</v>
      </c>
      <c r="D83" s="5" t="n">
        <v>83.2</v>
      </c>
      <c r="E83" s="5" t="n">
        <v>84.2</v>
      </c>
      <c r="F83" s="5" t="n">
        <v>81.5</v>
      </c>
      <c r="G83" s="5" t="n">
        <v>81.5</v>
      </c>
      <c r="H83" s="5" t="n">
        <v>83.2</v>
      </c>
      <c r="I83" s="5" t="n">
        <v>82.6</v>
      </c>
      <c r="K83" s="29" t="n">
        <v>48.218</v>
      </c>
      <c r="L83" s="30" t="n">
        <v>579539</v>
      </c>
    </row>
    <row r="84" customFormat="false" ht="15" hidden="false" customHeight="true" outlineLevel="0" collapsed="false">
      <c r="A84" s="8" t="n">
        <v>82</v>
      </c>
      <c r="B84" s="28" t="n">
        <v>45629</v>
      </c>
      <c r="C84" s="8" t="s">
        <v>2</v>
      </c>
      <c r="D84" s="5" t="n">
        <v>82.6</v>
      </c>
      <c r="E84" s="5" t="n">
        <v>83.8</v>
      </c>
      <c r="F84" s="5" t="n">
        <v>81</v>
      </c>
      <c r="G84" s="5" t="n">
        <v>83.5</v>
      </c>
      <c r="H84" s="5" t="n">
        <v>82.6</v>
      </c>
      <c r="I84" s="5" t="n">
        <v>82.9</v>
      </c>
      <c r="K84" s="29" t="n">
        <v>53.241</v>
      </c>
      <c r="L84" s="30" t="n">
        <v>644559</v>
      </c>
    </row>
    <row r="85" customFormat="false" ht="15" hidden="false" customHeight="true" outlineLevel="0" collapsed="false">
      <c r="A85" s="8" t="n">
        <v>83</v>
      </c>
      <c r="B85" s="28" t="n">
        <v>45628</v>
      </c>
      <c r="C85" s="8" t="s">
        <v>2</v>
      </c>
      <c r="D85" s="5" t="n">
        <v>82.9</v>
      </c>
      <c r="E85" s="5" t="n">
        <v>85.8</v>
      </c>
      <c r="F85" s="5" t="n">
        <v>82.4</v>
      </c>
      <c r="G85" s="5" t="n">
        <v>84.5</v>
      </c>
      <c r="H85" s="5" t="n">
        <v>82.9</v>
      </c>
      <c r="I85" s="5" t="n">
        <v>84.9</v>
      </c>
      <c r="K85" s="29" t="n">
        <v>62.661</v>
      </c>
      <c r="L85" s="30" t="n">
        <v>755862</v>
      </c>
    </row>
    <row r="86" customFormat="false" ht="15" hidden="false" customHeight="true" outlineLevel="0" collapsed="false">
      <c r="A86" s="8" t="n">
        <v>84</v>
      </c>
      <c r="B86" s="28" t="n">
        <v>45627</v>
      </c>
      <c r="C86" s="8" t="s">
        <v>2</v>
      </c>
      <c r="D86" s="5" t="n">
        <v>84.9</v>
      </c>
      <c r="E86" s="5" t="n">
        <v>87.4</v>
      </c>
      <c r="F86" s="5" t="n">
        <v>84.2</v>
      </c>
      <c r="G86" s="5" t="n">
        <v>87</v>
      </c>
      <c r="H86" s="5" t="n">
        <v>84.9</v>
      </c>
      <c r="I86" s="5" t="n">
        <v>86.9</v>
      </c>
      <c r="K86" s="29" t="n">
        <v>42.379</v>
      </c>
      <c r="L86" s="30" t="n">
        <v>499164</v>
      </c>
    </row>
    <row r="87" customFormat="false" ht="15" hidden="false" customHeight="true" outlineLevel="0" collapsed="false">
      <c r="A87" s="8" t="n">
        <v>85</v>
      </c>
      <c r="B87" s="28" t="n">
        <v>45624</v>
      </c>
      <c r="C87" s="8" t="s">
        <v>2</v>
      </c>
      <c r="D87" s="5" t="n">
        <v>86.9</v>
      </c>
      <c r="E87" s="5" t="n">
        <v>87.7</v>
      </c>
      <c r="F87" s="5" t="n">
        <v>84.2</v>
      </c>
      <c r="G87" s="5" t="n">
        <v>84.2</v>
      </c>
      <c r="H87" s="5" t="n">
        <v>86.9</v>
      </c>
      <c r="I87" s="5" t="n">
        <v>84.1</v>
      </c>
      <c r="K87" s="29" t="n">
        <v>86.257</v>
      </c>
      <c r="L87" s="30" t="n">
        <v>992601</v>
      </c>
    </row>
    <row r="88" customFormat="false" ht="15" hidden="false" customHeight="true" outlineLevel="0" collapsed="false">
      <c r="A88" s="8" t="n">
        <v>86</v>
      </c>
      <c r="B88" s="28" t="n">
        <v>45623</v>
      </c>
      <c r="C88" s="8" t="s">
        <v>2</v>
      </c>
      <c r="D88" s="5" t="n">
        <v>84.1</v>
      </c>
      <c r="E88" s="5" t="n">
        <v>84.8</v>
      </c>
      <c r="F88" s="5" t="n">
        <v>81</v>
      </c>
      <c r="G88" s="5" t="n">
        <v>81</v>
      </c>
      <c r="H88" s="5" t="n">
        <v>84.1</v>
      </c>
      <c r="I88" s="5" t="n">
        <v>80.1</v>
      </c>
      <c r="K88" s="29" t="n">
        <v>49.199</v>
      </c>
      <c r="L88" s="30" t="n">
        <v>585011</v>
      </c>
    </row>
    <row r="89" customFormat="false" ht="15" hidden="false" customHeight="true" outlineLevel="0" collapsed="false">
      <c r="A89" s="8" t="n">
        <v>87</v>
      </c>
      <c r="B89" s="28" t="n">
        <v>45622</v>
      </c>
      <c r="C89" s="8" t="s">
        <v>2</v>
      </c>
      <c r="D89" s="5" t="n">
        <v>80.1</v>
      </c>
      <c r="E89" s="5" t="n">
        <v>80.9</v>
      </c>
      <c r="F89" s="5" t="n">
        <v>77.5</v>
      </c>
      <c r="G89" s="5" t="n">
        <v>78.5</v>
      </c>
      <c r="H89" s="5" t="n">
        <v>80.1</v>
      </c>
      <c r="I89" s="5" t="n">
        <v>80.9</v>
      </c>
      <c r="K89" s="29" t="n">
        <v>77.162</v>
      </c>
      <c r="L89" s="30" t="n">
        <v>963321</v>
      </c>
    </row>
    <row r="90" customFormat="false" ht="15" hidden="false" customHeight="true" outlineLevel="0" collapsed="false">
      <c r="A90" s="8" t="n">
        <v>88</v>
      </c>
      <c r="B90" s="28" t="n">
        <v>45621</v>
      </c>
      <c r="C90" s="8" t="s">
        <v>2</v>
      </c>
      <c r="D90" s="5" t="n">
        <v>80.9</v>
      </c>
      <c r="E90" s="5" t="n">
        <v>80.9</v>
      </c>
      <c r="F90" s="5" t="n">
        <v>80.9</v>
      </c>
      <c r="G90" s="5" t="n">
        <v>80.9</v>
      </c>
      <c r="H90" s="5" t="n">
        <v>80.9</v>
      </c>
      <c r="I90" s="5" t="n">
        <v>80.9</v>
      </c>
      <c r="K90" s="29" t="n">
        <v>0</v>
      </c>
      <c r="L90" s="30" t="n">
        <v>0</v>
      </c>
    </row>
    <row r="91" customFormat="false" ht="15" hidden="false" customHeight="true" outlineLevel="0" collapsed="false">
      <c r="A91" s="8" t="n">
        <v>89</v>
      </c>
      <c r="B91" s="28" t="n">
        <v>45620</v>
      </c>
      <c r="C91" s="8" t="s">
        <v>2</v>
      </c>
      <c r="D91" s="5" t="n">
        <v>80.9</v>
      </c>
      <c r="E91" s="5" t="n">
        <v>82.4</v>
      </c>
      <c r="F91" s="5" t="n">
        <v>79.4</v>
      </c>
      <c r="G91" s="5" t="n">
        <v>81</v>
      </c>
      <c r="H91" s="5" t="n">
        <v>80.9</v>
      </c>
      <c r="I91" s="5" t="n">
        <v>79.8</v>
      </c>
      <c r="K91" s="29" t="n">
        <v>81.267</v>
      </c>
      <c r="L91" s="30" t="n">
        <v>1004531</v>
      </c>
    </row>
    <row r="92" customFormat="false" ht="15" hidden="false" customHeight="true" outlineLevel="0" collapsed="false">
      <c r="A92" s="8" t="n">
        <v>90</v>
      </c>
      <c r="B92" s="28" t="n">
        <v>45617</v>
      </c>
      <c r="C92" s="8" t="s">
        <v>2</v>
      </c>
      <c r="D92" s="5" t="n">
        <v>79.8</v>
      </c>
      <c r="E92" s="5" t="n">
        <v>83</v>
      </c>
      <c r="F92" s="5" t="n">
        <v>79.6</v>
      </c>
      <c r="G92" s="5" t="n">
        <v>82.5</v>
      </c>
      <c r="H92" s="5" t="n">
        <v>79.8</v>
      </c>
      <c r="I92" s="5" t="n">
        <v>82.4</v>
      </c>
      <c r="K92" s="29" t="n">
        <v>96.507</v>
      </c>
      <c r="L92" s="30" t="n">
        <v>1209363</v>
      </c>
    </row>
    <row r="93" customFormat="false" ht="15" hidden="false" customHeight="true" outlineLevel="0" collapsed="false">
      <c r="A93" s="8" t="n">
        <v>91</v>
      </c>
      <c r="B93" s="28" t="n">
        <v>45616</v>
      </c>
      <c r="C93" s="8" t="s">
        <v>2</v>
      </c>
      <c r="D93" s="5" t="n">
        <v>82.4</v>
      </c>
      <c r="E93" s="5" t="n">
        <v>85.5</v>
      </c>
      <c r="F93" s="5" t="n">
        <v>81.8</v>
      </c>
      <c r="G93" s="5" t="n">
        <v>84.5</v>
      </c>
      <c r="H93" s="5" t="n">
        <v>82.4</v>
      </c>
      <c r="I93" s="5" t="n">
        <v>84.5</v>
      </c>
      <c r="K93" s="29" t="n">
        <v>83.871</v>
      </c>
      <c r="L93" s="30" t="n">
        <v>1017849</v>
      </c>
    </row>
    <row r="94" customFormat="false" ht="15" hidden="false" customHeight="true" outlineLevel="0" collapsed="false">
      <c r="A94" s="8" t="n">
        <v>92</v>
      </c>
      <c r="B94" s="28" t="n">
        <v>45615</v>
      </c>
      <c r="C94" s="8" t="s">
        <v>2</v>
      </c>
      <c r="D94" s="5" t="n">
        <v>84.5</v>
      </c>
      <c r="E94" s="5" t="n">
        <v>88.7</v>
      </c>
      <c r="F94" s="5" t="n">
        <v>84</v>
      </c>
      <c r="G94" s="5" t="n">
        <v>86.9</v>
      </c>
      <c r="H94" s="5" t="n">
        <v>84.5</v>
      </c>
      <c r="I94" s="5" t="n">
        <v>86.9</v>
      </c>
      <c r="K94" s="29" t="n">
        <v>96.492</v>
      </c>
      <c r="L94" s="30" t="n">
        <v>1141912</v>
      </c>
    </row>
    <row r="95" customFormat="false" ht="15" hidden="false" customHeight="true" outlineLevel="0" collapsed="false">
      <c r="A95" s="8" t="n">
        <v>93</v>
      </c>
      <c r="B95" s="28" t="n">
        <v>45614</v>
      </c>
      <c r="C95" s="8" t="s">
        <v>2</v>
      </c>
      <c r="D95" s="5" t="n">
        <v>86.9</v>
      </c>
      <c r="E95" s="5" t="n">
        <v>92.6</v>
      </c>
      <c r="F95" s="5" t="n">
        <v>86.4</v>
      </c>
      <c r="G95" s="5" t="n">
        <v>92</v>
      </c>
      <c r="H95" s="5" t="n">
        <v>86.9</v>
      </c>
      <c r="I95" s="5" t="n">
        <v>91.4</v>
      </c>
      <c r="K95" s="29" t="n">
        <v>115.64</v>
      </c>
      <c r="L95" s="30" t="n">
        <v>1330723</v>
      </c>
    </row>
    <row r="96" customFormat="false" ht="15" hidden="false" customHeight="true" outlineLevel="0" collapsed="false">
      <c r="A96" s="8" t="n">
        <v>94</v>
      </c>
      <c r="B96" s="28" t="n">
        <v>45613</v>
      </c>
      <c r="C96" s="8" t="s">
        <v>2</v>
      </c>
      <c r="D96" s="5" t="n">
        <v>91.4</v>
      </c>
      <c r="E96" s="5" t="n">
        <v>93.3</v>
      </c>
      <c r="F96" s="5" t="n">
        <v>88.3</v>
      </c>
      <c r="G96" s="5" t="n">
        <v>89.2</v>
      </c>
      <c r="H96" s="5" t="n">
        <v>91.4</v>
      </c>
      <c r="I96" s="5" t="n">
        <v>89.2</v>
      </c>
      <c r="K96" s="29" t="n">
        <v>108.65</v>
      </c>
      <c r="L96" s="30" t="n">
        <v>1188734</v>
      </c>
    </row>
    <row r="97" customFormat="false" ht="15" hidden="false" customHeight="true" outlineLevel="0" collapsed="false">
      <c r="A97" s="8" t="n">
        <v>95</v>
      </c>
      <c r="B97" s="28" t="n">
        <v>45610</v>
      </c>
      <c r="C97" s="8" t="s">
        <v>2</v>
      </c>
      <c r="D97" s="5" t="n">
        <v>89.2</v>
      </c>
      <c r="E97" s="5" t="n">
        <v>89.5</v>
      </c>
      <c r="F97" s="5" t="n">
        <v>85.4</v>
      </c>
      <c r="G97" s="5" t="n">
        <v>85.5</v>
      </c>
      <c r="H97" s="5" t="n">
        <v>89.2</v>
      </c>
      <c r="I97" s="5" t="n">
        <v>84.5</v>
      </c>
      <c r="K97" s="29" t="n">
        <v>164.577</v>
      </c>
      <c r="L97" s="30" t="n">
        <v>1845039</v>
      </c>
    </row>
    <row r="98" customFormat="false" ht="15" hidden="false" customHeight="true" outlineLevel="0" collapsed="false">
      <c r="A98" s="8" t="n">
        <v>96</v>
      </c>
      <c r="B98" s="28" t="n">
        <v>45609</v>
      </c>
      <c r="C98" s="8" t="s">
        <v>2</v>
      </c>
      <c r="D98" s="5" t="n">
        <v>84.5</v>
      </c>
      <c r="E98" s="5" t="n">
        <v>86.5</v>
      </c>
      <c r="F98" s="5" t="n">
        <v>83.8</v>
      </c>
      <c r="G98" s="5" t="n">
        <v>86</v>
      </c>
      <c r="H98" s="5" t="n">
        <v>84.5</v>
      </c>
      <c r="I98" s="5" t="n">
        <v>86</v>
      </c>
      <c r="K98" s="29" t="n">
        <v>80.527</v>
      </c>
      <c r="L98" s="30" t="n">
        <v>952981</v>
      </c>
    </row>
    <row r="99" customFormat="false" ht="15" hidden="false" customHeight="true" outlineLevel="0" collapsed="false">
      <c r="A99" s="8" t="n">
        <v>97</v>
      </c>
      <c r="B99" s="28" t="n">
        <v>45608</v>
      </c>
      <c r="C99" s="8" t="s">
        <v>2</v>
      </c>
      <c r="D99" s="5" t="n">
        <v>86</v>
      </c>
      <c r="E99" s="5" t="n">
        <v>89.8</v>
      </c>
      <c r="F99" s="5" t="n">
        <v>84</v>
      </c>
      <c r="G99" s="5" t="n">
        <v>84.2</v>
      </c>
      <c r="H99" s="5" t="n">
        <v>86</v>
      </c>
      <c r="I99" s="5" t="n">
        <v>83.8</v>
      </c>
      <c r="K99" s="29" t="n">
        <v>138.13</v>
      </c>
      <c r="L99" s="30" t="n">
        <v>1606160</v>
      </c>
    </row>
    <row r="100" customFormat="false" ht="15" hidden="false" customHeight="true" outlineLevel="0" collapsed="false">
      <c r="A100" s="8" t="n">
        <v>98</v>
      </c>
      <c r="B100" s="28" t="n">
        <v>45607</v>
      </c>
      <c r="C100" s="8" t="s">
        <v>2</v>
      </c>
      <c r="D100" s="5" t="n">
        <v>83.8</v>
      </c>
      <c r="E100" s="5" t="n">
        <v>84.5</v>
      </c>
      <c r="F100" s="5" t="n">
        <v>81.3</v>
      </c>
      <c r="G100" s="5" t="n">
        <v>82.7</v>
      </c>
      <c r="H100" s="5" t="n">
        <v>83.8</v>
      </c>
      <c r="I100" s="5" t="n">
        <v>82.7</v>
      </c>
      <c r="K100" s="29" t="n">
        <v>99.643</v>
      </c>
      <c r="L100" s="30" t="n">
        <v>1189059</v>
      </c>
    </row>
    <row r="101" customFormat="false" ht="15" hidden="false" customHeight="true" outlineLevel="0" collapsed="false">
      <c r="A101" s="8" t="n">
        <v>99</v>
      </c>
      <c r="B101" s="28" t="n">
        <v>45606</v>
      </c>
      <c r="C101" s="8" t="s">
        <v>2</v>
      </c>
      <c r="D101" s="5" t="n">
        <v>82.7</v>
      </c>
      <c r="E101" s="5" t="n">
        <v>84.4</v>
      </c>
      <c r="F101" s="5" t="n">
        <v>81</v>
      </c>
      <c r="G101" s="5" t="n">
        <v>83.4</v>
      </c>
      <c r="H101" s="5" t="n">
        <v>82.7</v>
      </c>
      <c r="I101" s="5" t="n">
        <v>82.5</v>
      </c>
      <c r="K101" s="29" t="n">
        <v>67.757</v>
      </c>
      <c r="L101" s="30" t="n">
        <v>819309</v>
      </c>
    </row>
    <row r="102" customFormat="false" ht="15" hidden="false" customHeight="true" outlineLevel="0" collapsed="false">
      <c r="A102" s="8" t="n">
        <v>100</v>
      </c>
      <c r="B102" s="28" t="n">
        <v>45603</v>
      </c>
      <c r="C102" s="8" t="s">
        <v>2</v>
      </c>
      <c r="D102" s="5" t="n">
        <v>82.5</v>
      </c>
      <c r="E102" s="5" t="n">
        <v>83</v>
      </c>
      <c r="F102" s="5" t="n">
        <v>76.7</v>
      </c>
      <c r="G102" s="5" t="n">
        <v>77.6</v>
      </c>
      <c r="H102" s="5" t="n">
        <v>82.5</v>
      </c>
      <c r="I102" s="5" t="n">
        <v>77.6</v>
      </c>
      <c r="K102" s="29" t="n">
        <v>202.488</v>
      </c>
      <c r="L102" s="30" t="n">
        <v>2454405</v>
      </c>
    </row>
    <row r="103" customFormat="false" ht="15" hidden="false" customHeight="true" outlineLevel="0" collapsed="false">
      <c r="A103" s="8" t="n">
        <v>101</v>
      </c>
      <c r="B103" s="28" t="n">
        <v>45602</v>
      </c>
      <c r="C103" s="8" t="s">
        <v>2</v>
      </c>
      <c r="D103" s="5" t="n">
        <v>77.6</v>
      </c>
      <c r="E103" s="5" t="n">
        <v>78.7</v>
      </c>
      <c r="F103" s="5" t="n">
        <v>72.8</v>
      </c>
      <c r="G103" s="5" t="n">
        <v>74.1</v>
      </c>
      <c r="H103" s="5" t="n">
        <v>77.6</v>
      </c>
      <c r="I103" s="5" t="n">
        <v>76.1</v>
      </c>
      <c r="K103" s="29" t="n">
        <v>114.042</v>
      </c>
      <c r="L103" s="30" t="n">
        <v>1469618</v>
      </c>
    </row>
    <row r="104" customFormat="false" ht="15" hidden="false" customHeight="true" outlineLevel="0" collapsed="false">
      <c r="A104" s="8" t="n">
        <v>102</v>
      </c>
      <c r="B104" s="28" t="n">
        <v>45601</v>
      </c>
      <c r="C104" s="8" t="s">
        <v>2</v>
      </c>
      <c r="D104" s="5" t="n">
        <v>76.1</v>
      </c>
      <c r="E104" s="5" t="n">
        <v>77.8</v>
      </c>
      <c r="F104" s="5" t="n">
        <v>74.2</v>
      </c>
      <c r="G104" s="5" t="n">
        <v>74.2</v>
      </c>
      <c r="H104" s="5" t="n">
        <v>76.1</v>
      </c>
      <c r="I104" s="5" t="n">
        <v>74.1</v>
      </c>
      <c r="K104" s="29" t="n">
        <v>80.643</v>
      </c>
      <c r="L104" s="30" t="n">
        <v>1059692</v>
      </c>
    </row>
    <row r="105" customFormat="false" ht="15" hidden="false" customHeight="true" outlineLevel="0" collapsed="false">
      <c r="A105" s="8" t="n">
        <v>103</v>
      </c>
      <c r="B105" s="28" t="n">
        <v>45600</v>
      </c>
      <c r="C105" s="8" t="s">
        <v>2</v>
      </c>
      <c r="D105" s="5" t="n">
        <v>74.1</v>
      </c>
      <c r="E105" s="5" t="n">
        <v>74.7</v>
      </c>
      <c r="F105" s="5" t="n">
        <v>73.3</v>
      </c>
      <c r="G105" s="5" t="n">
        <v>74.4</v>
      </c>
      <c r="H105" s="5" t="n">
        <v>74.1</v>
      </c>
      <c r="I105" s="5" t="n">
        <v>74.2</v>
      </c>
      <c r="K105" s="29" t="n">
        <v>24.431</v>
      </c>
      <c r="L105" s="30" t="n">
        <v>329706</v>
      </c>
    </row>
    <row r="106" customFormat="false" ht="15" hidden="false" customHeight="true" outlineLevel="0" collapsed="false">
      <c r="A106" s="8" t="n">
        <v>104</v>
      </c>
      <c r="B106" s="28" t="n">
        <v>45599</v>
      </c>
      <c r="C106" s="8" t="s">
        <v>2</v>
      </c>
      <c r="D106" s="5" t="n">
        <v>74.2</v>
      </c>
      <c r="E106" s="5" t="n">
        <v>75.4</v>
      </c>
      <c r="F106" s="5" t="n">
        <v>74</v>
      </c>
      <c r="G106" s="5" t="n">
        <v>74</v>
      </c>
      <c r="H106" s="5" t="n">
        <v>74.2</v>
      </c>
      <c r="I106" s="5" t="n">
        <v>74</v>
      </c>
      <c r="K106" s="29" t="n">
        <v>23.217</v>
      </c>
      <c r="L106" s="30" t="n">
        <v>312896</v>
      </c>
    </row>
    <row r="107" customFormat="false" ht="15" hidden="false" customHeight="true" outlineLevel="0" collapsed="false">
      <c r="A107" s="8" t="n">
        <v>105</v>
      </c>
      <c r="B107" s="28" t="n">
        <v>45596</v>
      </c>
      <c r="C107" s="8" t="s">
        <v>2</v>
      </c>
      <c r="D107" s="5" t="n">
        <v>74</v>
      </c>
      <c r="E107" s="5" t="n">
        <v>74.6</v>
      </c>
      <c r="F107" s="5" t="n">
        <v>72.8</v>
      </c>
      <c r="G107" s="5" t="n">
        <v>74</v>
      </c>
      <c r="H107" s="5" t="n">
        <v>74</v>
      </c>
      <c r="I107" s="5" t="n">
        <v>73.7</v>
      </c>
      <c r="K107" s="29" t="n">
        <v>26.286</v>
      </c>
      <c r="L107" s="30" t="n">
        <v>355212</v>
      </c>
    </row>
    <row r="108" customFormat="false" ht="15" hidden="false" customHeight="true" outlineLevel="0" collapsed="false">
      <c r="A108" s="8" t="n">
        <v>106</v>
      </c>
      <c r="B108" s="28" t="n">
        <v>45595</v>
      </c>
      <c r="C108" s="8" t="s">
        <v>2</v>
      </c>
      <c r="D108" s="5" t="n">
        <v>73.7</v>
      </c>
      <c r="E108" s="5" t="n">
        <v>74.2</v>
      </c>
      <c r="F108" s="5" t="n">
        <v>73.3</v>
      </c>
      <c r="G108" s="5" t="n">
        <v>73.6</v>
      </c>
      <c r="H108" s="5" t="n">
        <v>73.7</v>
      </c>
      <c r="I108" s="5" t="n">
        <v>73</v>
      </c>
      <c r="K108" s="29" t="n">
        <v>53.899</v>
      </c>
      <c r="L108" s="30" t="n">
        <v>731335</v>
      </c>
    </row>
    <row r="109" customFormat="false" ht="15" hidden="false" customHeight="true" outlineLevel="0" collapsed="false">
      <c r="A109" s="8" t="n">
        <v>107</v>
      </c>
      <c r="B109" s="28" t="n">
        <v>45594</v>
      </c>
      <c r="C109" s="8" t="s">
        <v>2</v>
      </c>
      <c r="D109" s="5" t="n">
        <v>73</v>
      </c>
      <c r="E109" s="5" t="n">
        <v>73.7</v>
      </c>
      <c r="F109" s="5" t="n">
        <v>71.6</v>
      </c>
      <c r="G109" s="5" t="n">
        <v>72.8</v>
      </c>
      <c r="H109" s="5" t="n">
        <v>73</v>
      </c>
      <c r="I109" s="5" t="n">
        <v>69.9</v>
      </c>
      <c r="K109" s="29" t="n">
        <v>46.696</v>
      </c>
      <c r="L109" s="30" t="n">
        <v>639666</v>
      </c>
    </row>
    <row r="110" customFormat="false" ht="15" hidden="false" customHeight="true" outlineLevel="0" collapsed="false">
      <c r="A110" s="8" t="n">
        <v>108</v>
      </c>
      <c r="B110" s="28" t="n">
        <v>45593</v>
      </c>
      <c r="C110" s="8" t="s">
        <v>2</v>
      </c>
      <c r="D110" s="5" t="n">
        <v>69.9</v>
      </c>
      <c r="E110" s="5" t="n">
        <v>71.1</v>
      </c>
      <c r="F110" s="5" t="n">
        <v>68.4</v>
      </c>
      <c r="G110" s="5" t="n">
        <v>69.5</v>
      </c>
      <c r="H110" s="5" t="n">
        <v>69.9</v>
      </c>
      <c r="I110" s="5" t="n">
        <v>69.4</v>
      </c>
      <c r="K110" s="29" t="n">
        <v>20.129</v>
      </c>
      <c r="L110" s="30" t="n">
        <v>287968</v>
      </c>
    </row>
    <row r="111" customFormat="false" ht="15" hidden="false" customHeight="true" outlineLevel="0" collapsed="false">
      <c r="A111" s="8" t="n">
        <v>109</v>
      </c>
      <c r="B111" s="28" t="n">
        <v>45592</v>
      </c>
      <c r="C111" s="8" t="s">
        <v>2</v>
      </c>
      <c r="D111" s="5" t="n">
        <v>69.4</v>
      </c>
      <c r="E111" s="5" t="n">
        <v>71</v>
      </c>
      <c r="F111" s="5" t="n">
        <v>68.8</v>
      </c>
      <c r="G111" s="5" t="n">
        <v>70.5</v>
      </c>
      <c r="H111" s="5" t="n">
        <v>69.4</v>
      </c>
      <c r="I111" s="5" t="n">
        <v>71.7</v>
      </c>
      <c r="K111" s="29" t="n">
        <v>8.277</v>
      </c>
      <c r="L111" s="30" t="n">
        <v>119269</v>
      </c>
    </row>
    <row r="112" customFormat="false" ht="15" hidden="false" customHeight="true" outlineLevel="0" collapsed="false">
      <c r="A112" s="8" t="n">
        <v>110</v>
      </c>
      <c r="B112" s="28" t="n">
        <v>45589</v>
      </c>
      <c r="C112" s="8" t="s">
        <v>2</v>
      </c>
      <c r="D112" s="5" t="n">
        <v>71.7</v>
      </c>
      <c r="E112" s="5" t="n">
        <v>72.1</v>
      </c>
      <c r="F112" s="5" t="n">
        <v>68.6</v>
      </c>
      <c r="G112" s="5" t="n">
        <v>70.5</v>
      </c>
      <c r="H112" s="5" t="n">
        <v>71.7</v>
      </c>
      <c r="I112" s="5" t="n">
        <v>69.9</v>
      </c>
      <c r="K112" s="29" t="n">
        <v>39.661</v>
      </c>
      <c r="L112" s="30" t="n">
        <v>553147</v>
      </c>
    </row>
    <row r="113" customFormat="false" ht="15" hidden="false" customHeight="true" outlineLevel="0" collapsed="false">
      <c r="A113" s="8" t="n">
        <v>111</v>
      </c>
      <c r="B113" s="28" t="n">
        <v>45588</v>
      </c>
      <c r="C113" s="8" t="s">
        <v>2</v>
      </c>
      <c r="D113" s="5" t="n">
        <v>69.9</v>
      </c>
      <c r="E113" s="5" t="n">
        <v>72.8</v>
      </c>
      <c r="F113" s="5" t="n">
        <v>69.4</v>
      </c>
      <c r="G113" s="5" t="n">
        <v>71.4</v>
      </c>
      <c r="H113" s="5" t="n">
        <v>69.9</v>
      </c>
      <c r="I113" s="5" t="n">
        <v>71.4</v>
      </c>
      <c r="K113" s="29" t="n">
        <v>11.228</v>
      </c>
      <c r="L113" s="30" t="n">
        <v>160629</v>
      </c>
    </row>
    <row r="114" customFormat="false" ht="15" hidden="false" customHeight="true" outlineLevel="0" collapsed="false">
      <c r="A114" s="8" t="n">
        <v>112</v>
      </c>
      <c r="B114" s="28" t="n">
        <v>45587</v>
      </c>
      <c r="C114" s="8" t="s">
        <v>2</v>
      </c>
      <c r="D114" s="5" t="n">
        <v>71.4</v>
      </c>
      <c r="E114" s="5" t="n">
        <v>72.5</v>
      </c>
      <c r="F114" s="5" t="n">
        <v>71</v>
      </c>
      <c r="G114" s="5" t="n">
        <v>71.1</v>
      </c>
      <c r="H114" s="5" t="n">
        <v>71.4</v>
      </c>
      <c r="I114" s="5" t="n">
        <v>71.1</v>
      </c>
      <c r="K114" s="29" t="n">
        <v>18.227</v>
      </c>
      <c r="L114" s="30" t="n">
        <v>255279</v>
      </c>
    </row>
    <row r="115" customFormat="false" ht="15" hidden="false" customHeight="true" outlineLevel="0" collapsed="false">
      <c r="A115" s="8" t="n">
        <v>113</v>
      </c>
      <c r="B115" s="28" t="n">
        <v>45586</v>
      </c>
      <c r="C115" s="8" t="s">
        <v>2</v>
      </c>
      <c r="D115" s="5" t="n">
        <v>71.1</v>
      </c>
      <c r="E115" s="5" t="n">
        <v>72.5</v>
      </c>
      <c r="F115" s="5" t="n">
        <v>70.7</v>
      </c>
      <c r="G115" s="5" t="n">
        <v>71.3</v>
      </c>
      <c r="H115" s="5" t="n">
        <v>71.1</v>
      </c>
      <c r="I115" s="5" t="n">
        <v>71.9</v>
      </c>
      <c r="K115" s="29" t="n">
        <v>19.244</v>
      </c>
      <c r="L115" s="30" t="n">
        <v>270658</v>
      </c>
    </row>
    <row r="116" customFormat="false" ht="15" hidden="false" customHeight="true" outlineLevel="0" collapsed="false">
      <c r="A116" s="8" t="n">
        <v>114</v>
      </c>
      <c r="B116" s="28" t="n">
        <v>45585</v>
      </c>
      <c r="C116" s="8" t="s">
        <v>2</v>
      </c>
      <c r="D116" s="5" t="n">
        <v>71.9</v>
      </c>
      <c r="E116" s="5" t="n">
        <v>74.5</v>
      </c>
      <c r="F116" s="5" t="n">
        <v>71.2</v>
      </c>
      <c r="G116" s="5" t="n">
        <v>74.3</v>
      </c>
      <c r="H116" s="5" t="n">
        <v>71.9</v>
      </c>
      <c r="I116" s="5" t="n">
        <v>72.9</v>
      </c>
      <c r="K116" s="29" t="n">
        <v>14.851</v>
      </c>
      <c r="L116" s="30" t="n">
        <v>206545</v>
      </c>
    </row>
    <row r="117" customFormat="false" ht="15" hidden="false" customHeight="true" outlineLevel="0" collapsed="false">
      <c r="A117" s="8" t="n">
        <v>115</v>
      </c>
      <c r="B117" s="28" t="n">
        <v>45582</v>
      </c>
      <c r="C117" s="8" t="s">
        <v>2</v>
      </c>
      <c r="D117" s="5" t="n">
        <v>72.9</v>
      </c>
      <c r="E117" s="5" t="n">
        <v>74</v>
      </c>
      <c r="F117" s="5" t="n">
        <v>72</v>
      </c>
      <c r="G117" s="5" t="n">
        <v>72</v>
      </c>
      <c r="H117" s="5" t="n">
        <v>72.9</v>
      </c>
      <c r="I117" s="5" t="n">
        <v>70.7</v>
      </c>
      <c r="K117" s="29" t="n">
        <v>51.074</v>
      </c>
      <c r="L117" s="30" t="n">
        <v>700608</v>
      </c>
    </row>
    <row r="118" customFormat="false" ht="15" hidden="false" customHeight="true" outlineLevel="0" collapsed="false">
      <c r="A118" s="8" t="n">
        <v>116</v>
      </c>
      <c r="B118" s="28" t="n">
        <v>45581</v>
      </c>
      <c r="C118" s="8" t="s">
        <v>2</v>
      </c>
      <c r="D118" s="5" t="n">
        <v>70.7</v>
      </c>
      <c r="E118" s="5" t="n">
        <v>72.8</v>
      </c>
      <c r="F118" s="5" t="n">
        <v>70</v>
      </c>
      <c r="G118" s="5" t="n">
        <v>70.9</v>
      </c>
      <c r="H118" s="5" t="n">
        <v>70.7</v>
      </c>
      <c r="I118" s="5" t="n">
        <v>72.4</v>
      </c>
      <c r="K118" s="29" t="n">
        <v>18.597</v>
      </c>
      <c r="L118" s="30" t="n">
        <v>263035</v>
      </c>
    </row>
    <row r="119" customFormat="false" ht="15" hidden="false" customHeight="true" outlineLevel="0" collapsed="false">
      <c r="A119" s="8" t="n">
        <v>117</v>
      </c>
      <c r="B119" s="28" t="n">
        <v>45580</v>
      </c>
      <c r="C119" s="8" t="s">
        <v>2</v>
      </c>
      <c r="D119" s="5" t="n">
        <v>72.4</v>
      </c>
      <c r="E119" s="5" t="n">
        <v>72.7</v>
      </c>
      <c r="F119" s="5" t="n">
        <v>70.5</v>
      </c>
      <c r="G119" s="5" t="n">
        <v>70.5</v>
      </c>
      <c r="H119" s="5" t="n">
        <v>72.4</v>
      </c>
      <c r="I119" s="5" t="n">
        <v>70.9</v>
      </c>
      <c r="K119" s="29" t="n">
        <v>24.322</v>
      </c>
      <c r="L119" s="30" t="n">
        <v>335937</v>
      </c>
    </row>
    <row r="120" customFormat="false" ht="15" hidden="false" customHeight="true" outlineLevel="0" collapsed="false">
      <c r="A120" s="8" t="n">
        <v>118</v>
      </c>
      <c r="B120" s="28" t="n">
        <v>45579</v>
      </c>
      <c r="C120" s="8" t="s">
        <v>2</v>
      </c>
      <c r="D120" s="5" t="n">
        <v>70.9</v>
      </c>
      <c r="E120" s="5" t="n">
        <v>74.6</v>
      </c>
      <c r="F120" s="5" t="n">
        <v>70</v>
      </c>
      <c r="G120" s="5" t="n">
        <v>73.5</v>
      </c>
      <c r="H120" s="5" t="n">
        <v>70.9</v>
      </c>
      <c r="I120" s="5" t="n">
        <v>73.3</v>
      </c>
      <c r="K120" s="29" t="n">
        <v>67.467</v>
      </c>
      <c r="L120" s="30" t="n">
        <v>951573</v>
      </c>
    </row>
    <row r="121" customFormat="false" ht="15" hidden="false" customHeight="true" outlineLevel="0" collapsed="false">
      <c r="A121" s="8" t="n">
        <v>119</v>
      </c>
      <c r="B121" s="28" t="n">
        <v>45574</v>
      </c>
      <c r="C121" s="8" t="s">
        <v>2</v>
      </c>
      <c r="D121" s="5" t="n">
        <v>73.3</v>
      </c>
      <c r="E121" s="5" t="n">
        <v>73.6</v>
      </c>
      <c r="F121" s="5" t="n">
        <v>70.9</v>
      </c>
      <c r="G121" s="5" t="n">
        <v>71.6</v>
      </c>
      <c r="H121" s="5" t="n">
        <v>73.3</v>
      </c>
      <c r="I121" s="5" t="n">
        <v>70.8</v>
      </c>
      <c r="K121" s="29" t="n">
        <v>38.533</v>
      </c>
      <c r="L121" s="30" t="n">
        <v>525683</v>
      </c>
    </row>
    <row r="122" customFormat="false" ht="15" hidden="false" customHeight="true" outlineLevel="0" collapsed="false">
      <c r="A122" s="8" t="n">
        <v>120</v>
      </c>
      <c r="B122" s="28" t="n">
        <v>45573</v>
      </c>
      <c r="C122" s="8" t="s">
        <v>2</v>
      </c>
      <c r="D122" s="5" t="n">
        <v>70.8</v>
      </c>
      <c r="E122" s="5" t="n">
        <v>72.4</v>
      </c>
      <c r="F122" s="5" t="n">
        <v>69</v>
      </c>
      <c r="G122" s="5" t="n">
        <v>70.1</v>
      </c>
      <c r="H122" s="5" t="n">
        <v>70.8</v>
      </c>
      <c r="I122" s="5" t="n">
        <v>70.1</v>
      </c>
      <c r="K122" s="29" t="n">
        <v>33.284</v>
      </c>
      <c r="L122" s="30" t="n">
        <v>470117</v>
      </c>
    </row>
    <row r="123" customFormat="false" ht="15" hidden="false" customHeight="true" outlineLevel="0" collapsed="false">
      <c r="A123" s="8" t="n">
        <v>121</v>
      </c>
      <c r="B123" s="28" t="n">
        <v>45572</v>
      </c>
      <c r="C123" s="8" t="s">
        <v>2</v>
      </c>
      <c r="D123" s="5" t="n">
        <v>70.1</v>
      </c>
      <c r="E123" s="5" t="n">
        <v>73.3</v>
      </c>
      <c r="F123" s="5" t="n">
        <v>68.5</v>
      </c>
      <c r="G123" s="5" t="n">
        <v>69.5</v>
      </c>
      <c r="H123" s="5" t="n">
        <v>70.1</v>
      </c>
      <c r="I123" s="5" t="n">
        <v>69.5</v>
      </c>
      <c r="K123" s="29" t="n">
        <v>48.361</v>
      </c>
      <c r="L123" s="30" t="n">
        <v>689889</v>
      </c>
    </row>
    <row r="124" customFormat="false" ht="15" hidden="false" customHeight="true" outlineLevel="0" collapsed="false">
      <c r="A124" s="8" t="n">
        <v>122</v>
      </c>
      <c r="B124" s="28" t="n">
        <v>45571</v>
      </c>
      <c r="C124" s="8" t="s">
        <v>2</v>
      </c>
      <c r="D124" s="5" t="n">
        <v>69.5</v>
      </c>
      <c r="E124" s="5" t="n">
        <v>70.4</v>
      </c>
      <c r="F124" s="5" t="n">
        <v>67.1</v>
      </c>
      <c r="G124" s="5" t="n">
        <v>67.1</v>
      </c>
      <c r="H124" s="5" t="n">
        <v>69.5</v>
      </c>
      <c r="I124" s="5" t="n">
        <v>67.5</v>
      </c>
      <c r="K124" s="29" t="n">
        <v>40.857</v>
      </c>
      <c r="L124" s="30" t="n">
        <v>587868</v>
      </c>
    </row>
    <row r="125" customFormat="false" ht="15" hidden="false" customHeight="true" outlineLevel="0" collapsed="false">
      <c r="A125" s="8" t="n">
        <v>123</v>
      </c>
      <c r="B125" s="28" t="n">
        <v>45568</v>
      </c>
      <c r="C125" s="8" t="s">
        <v>2</v>
      </c>
      <c r="D125" s="5" t="n">
        <v>67.5</v>
      </c>
      <c r="E125" s="5" t="n">
        <v>68.3</v>
      </c>
      <c r="F125" s="5" t="n">
        <v>64.2</v>
      </c>
      <c r="G125" s="5" t="n">
        <v>64.3</v>
      </c>
      <c r="H125" s="5" t="n">
        <v>67.5</v>
      </c>
      <c r="I125" s="5" t="n">
        <v>65.3</v>
      </c>
      <c r="K125" s="29" t="n">
        <v>35.493</v>
      </c>
      <c r="L125" s="30" t="n">
        <v>525816</v>
      </c>
    </row>
    <row r="126" customFormat="false" ht="15" hidden="false" customHeight="true" outlineLevel="0" collapsed="false">
      <c r="A126" s="8" t="n">
        <v>124</v>
      </c>
      <c r="B126" s="28" t="n">
        <v>45567</v>
      </c>
      <c r="C126" s="8" t="s">
        <v>2</v>
      </c>
      <c r="D126" s="5" t="n">
        <v>65.3</v>
      </c>
      <c r="E126" s="5" t="n">
        <v>70.5</v>
      </c>
      <c r="F126" s="5" t="n">
        <v>64.6</v>
      </c>
      <c r="G126" s="5" t="n">
        <v>70.5</v>
      </c>
      <c r="H126" s="5" t="n">
        <v>65.3</v>
      </c>
      <c r="I126" s="5" t="n">
        <v>70.5</v>
      </c>
      <c r="K126" s="29" t="n">
        <v>85.587</v>
      </c>
      <c r="L126" s="30" t="n">
        <v>1310673</v>
      </c>
    </row>
    <row r="127" customFormat="false" ht="15" hidden="false" customHeight="true" outlineLevel="0" collapsed="false">
      <c r="A127" s="8" t="n">
        <v>125</v>
      </c>
      <c r="B127" s="28" t="n">
        <v>45566</v>
      </c>
      <c r="C127" s="8" t="s">
        <v>2</v>
      </c>
      <c r="D127" s="5" t="n">
        <v>70.5</v>
      </c>
      <c r="E127" s="5" t="n">
        <v>73.4</v>
      </c>
      <c r="F127" s="5" t="n">
        <v>70.2</v>
      </c>
      <c r="G127" s="5" t="n">
        <v>73</v>
      </c>
      <c r="H127" s="5" t="n">
        <v>70.5</v>
      </c>
      <c r="I127" s="5" t="n">
        <v>73</v>
      </c>
      <c r="K127" s="29" t="n">
        <v>43.841</v>
      </c>
      <c r="L127" s="30" t="n">
        <v>621865</v>
      </c>
    </row>
    <row r="128" customFormat="false" ht="15" hidden="false" customHeight="true" outlineLevel="0" collapsed="false">
      <c r="A128" s="8" t="n">
        <v>126</v>
      </c>
      <c r="B128" s="28" t="n">
        <v>45565</v>
      </c>
      <c r="C128" s="8" t="s">
        <v>2</v>
      </c>
      <c r="D128" s="5" t="n">
        <v>73</v>
      </c>
      <c r="E128" s="5" t="n">
        <v>73.6</v>
      </c>
      <c r="F128" s="5" t="n">
        <v>72.3</v>
      </c>
      <c r="G128" s="5" t="n">
        <v>73</v>
      </c>
      <c r="H128" s="5" t="n">
        <v>73</v>
      </c>
      <c r="I128" s="5" t="n">
        <v>73</v>
      </c>
      <c r="K128" s="29" t="n">
        <v>29.407</v>
      </c>
      <c r="L128" s="30" t="n">
        <v>402836</v>
      </c>
    </row>
    <row r="129" customFormat="false" ht="15" hidden="false" customHeight="true" outlineLevel="0" collapsed="false">
      <c r="A129" s="8" t="n">
        <v>127</v>
      </c>
      <c r="B129" s="28" t="n">
        <v>45564</v>
      </c>
      <c r="C129" s="8" t="s">
        <v>2</v>
      </c>
      <c r="D129" s="5" t="n">
        <v>73</v>
      </c>
      <c r="E129" s="5" t="n">
        <v>73.6</v>
      </c>
      <c r="F129" s="5" t="n">
        <v>70.7</v>
      </c>
      <c r="G129" s="5" t="n">
        <v>71.3</v>
      </c>
      <c r="H129" s="5" t="n">
        <v>73</v>
      </c>
      <c r="I129" s="5" t="n">
        <v>71.3</v>
      </c>
      <c r="K129" s="29" t="n">
        <v>23.315</v>
      </c>
      <c r="L129" s="30" t="n">
        <v>319380</v>
      </c>
    </row>
    <row r="130" customFormat="false" ht="15" hidden="false" customHeight="true" outlineLevel="0" collapsed="false">
      <c r="A130" s="8" t="n">
        <v>128</v>
      </c>
      <c r="B130" s="28" t="n">
        <v>45561</v>
      </c>
      <c r="C130" s="8" t="s">
        <v>2</v>
      </c>
      <c r="D130" s="5" t="n">
        <v>71.3</v>
      </c>
      <c r="E130" s="5" t="n">
        <v>72.7</v>
      </c>
      <c r="F130" s="5" t="n">
        <v>70.8</v>
      </c>
      <c r="G130" s="5" t="n">
        <v>71.7</v>
      </c>
      <c r="H130" s="5" t="n">
        <v>71.3</v>
      </c>
      <c r="I130" s="5" t="n">
        <v>71.9</v>
      </c>
      <c r="K130" s="29" t="n">
        <v>24.998</v>
      </c>
      <c r="L130" s="30" t="n">
        <v>350601</v>
      </c>
    </row>
    <row r="131" customFormat="false" ht="15" hidden="false" customHeight="true" outlineLevel="0" collapsed="false">
      <c r="A131" s="8" t="n">
        <v>129</v>
      </c>
      <c r="B131" s="28" t="n">
        <v>45560</v>
      </c>
      <c r="C131" s="8" t="s">
        <v>2</v>
      </c>
      <c r="D131" s="5" t="n">
        <v>71.9</v>
      </c>
      <c r="E131" s="5" t="n">
        <v>73.8</v>
      </c>
      <c r="F131" s="5" t="n">
        <v>71.7</v>
      </c>
      <c r="G131" s="5" t="n">
        <v>73.8</v>
      </c>
      <c r="H131" s="5" t="n">
        <v>71.9</v>
      </c>
      <c r="I131" s="5" t="n">
        <v>72.6</v>
      </c>
      <c r="K131" s="29" t="n">
        <v>30.815</v>
      </c>
      <c r="L131" s="30" t="n">
        <v>428581</v>
      </c>
    </row>
    <row r="132" customFormat="false" ht="15" hidden="false" customHeight="true" outlineLevel="0" collapsed="false">
      <c r="A132" s="8" t="n">
        <v>130</v>
      </c>
      <c r="B132" s="28" t="n">
        <v>45559</v>
      </c>
      <c r="C132" s="8" t="s">
        <v>2</v>
      </c>
      <c r="D132" s="5" t="n">
        <v>72.6</v>
      </c>
      <c r="E132" s="5" t="n">
        <v>75.5</v>
      </c>
      <c r="F132" s="5" t="n">
        <v>72</v>
      </c>
      <c r="G132" s="5" t="n">
        <v>74.2</v>
      </c>
      <c r="H132" s="5" t="n">
        <v>72.6</v>
      </c>
      <c r="I132" s="5" t="n">
        <v>74.3</v>
      </c>
      <c r="K132" s="29" t="n">
        <v>49.938</v>
      </c>
      <c r="L132" s="30" t="n">
        <v>687845</v>
      </c>
    </row>
    <row r="133" customFormat="false" ht="15" hidden="false" customHeight="true" outlineLevel="0" collapsed="false">
      <c r="A133" s="8" t="n">
        <v>131</v>
      </c>
      <c r="B133" s="28" t="n">
        <v>45558</v>
      </c>
      <c r="C133" s="8" t="s">
        <v>2</v>
      </c>
      <c r="D133" s="5" t="n">
        <v>74.3</v>
      </c>
      <c r="E133" s="5" t="n">
        <v>75.1</v>
      </c>
      <c r="F133" s="5" t="n">
        <v>73.5</v>
      </c>
      <c r="G133" s="5" t="n">
        <v>73.5</v>
      </c>
      <c r="H133" s="5" t="n">
        <v>74.3</v>
      </c>
      <c r="I133" s="5" t="n">
        <v>73.5</v>
      </c>
      <c r="K133" s="29" t="n">
        <v>41.078</v>
      </c>
      <c r="L133" s="30" t="n">
        <v>552867</v>
      </c>
    </row>
    <row r="134" customFormat="false" ht="15" hidden="false" customHeight="true" outlineLevel="0" collapsed="false">
      <c r="A134" s="8" t="n">
        <v>132</v>
      </c>
      <c r="B134" s="28" t="n">
        <v>45557</v>
      </c>
      <c r="C134" s="8" t="s">
        <v>2</v>
      </c>
      <c r="D134" s="5" t="n">
        <v>73.5</v>
      </c>
      <c r="E134" s="5" t="n">
        <v>75.3</v>
      </c>
      <c r="F134" s="5" t="n">
        <v>73.2</v>
      </c>
      <c r="G134" s="5" t="n">
        <v>74.8</v>
      </c>
      <c r="H134" s="5" t="n">
        <v>73.5</v>
      </c>
      <c r="I134" s="5" t="n">
        <v>74</v>
      </c>
      <c r="K134" s="29" t="n">
        <v>25.762</v>
      </c>
      <c r="L134" s="30" t="n">
        <v>350497</v>
      </c>
    </row>
    <row r="135" customFormat="false" ht="15" hidden="false" customHeight="true" outlineLevel="0" collapsed="false">
      <c r="A135" s="8" t="n">
        <v>133</v>
      </c>
      <c r="B135" s="28" t="n">
        <v>45554</v>
      </c>
      <c r="C135" s="8" t="s">
        <v>2</v>
      </c>
      <c r="D135" s="5" t="n">
        <v>74</v>
      </c>
      <c r="E135" s="5" t="n">
        <v>75.2</v>
      </c>
      <c r="F135" s="5" t="n">
        <v>73.2</v>
      </c>
      <c r="G135" s="5" t="n">
        <v>73.5</v>
      </c>
      <c r="H135" s="5" t="n">
        <v>74</v>
      </c>
      <c r="I135" s="5" t="n">
        <v>73.6</v>
      </c>
      <c r="K135" s="29" t="n">
        <v>31.251</v>
      </c>
      <c r="L135" s="30" t="n">
        <v>422316</v>
      </c>
    </row>
    <row r="136" customFormat="false" ht="15" hidden="false" customHeight="true" outlineLevel="0" collapsed="false">
      <c r="A136" s="8" t="n">
        <v>134</v>
      </c>
      <c r="B136" s="28" t="n">
        <v>45553</v>
      </c>
      <c r="C136" s="8" t="s">
        <v>2</v>
      </c>
      <c r="D136" s="5" t="n">
        <v>73.6</v>
      </c>
      <c r="E136" s="5" t="n">
        <v>74.6</v>
      </c>
      <c r="F136" s="5" t="n">
        <v>73.1</v>
      </c>
      <c r="G136" s="5" t="n">
        <v>74.2</v>
      </c>
      <c r="H136" s="5" t="n">
        <v>73.6</v>
      </c>
      <c r="I136" s="5" t="n">
        <v>73.4</v>
      </c>
      <c r="K136" s="29" t="n">
        <v>27.869</v>
      </c>
      <c r="L136" s="30" t="n">
        <v>378652</v>
      </c>
    </row>
    <row r="137" customFormat="false" ht="15" hidden="false" customHeight="true" outlineLevel="0" collapsed="false">
      <c r="A137" s="8" t="n">
        <v>135</v>
      </c>
      <c r="B137" s="28" t="n">
        <v>45552</v>
      </c>
      <c r="C137" s="8" t="s">
        <v>2</v>
      </c>
      <c r="D137" s="5" t="n">
        <v>73.4</v>
      </c>
      <c r="E137" s="5" t="n">
        <v>76.2</v>
      </c>
      <c r="F137" s="5" t="n">
        <v>73</v>
      </c>
      <c r="G137" s="5" t="n">
        <v>75.4</v>
      </c>
      <c r="H137" s="5" t="n">
        <v>73.4</v>
      </c>
      <c r="I137" s="5" t="n">
        <v>75.4</v>
      </c>
      <c r="K137" s="29" t="n">
        <v>50.902</v>
      </c>
      <c r="L137" s="30" t="n">
        <v>693492</v>
      </c>
    </row>
    <row r="138" customFormat="false" ht="15" hidden="false" customHeight="true" outlineLevel="0" collapsed="false">
      <c r="A138" s="8" t="n">
        <v>136</v>
      </c>
      <c r="B138" s="28" t="n">
        <v>45550</v>
      </c>
      <c r="C138" s="8" t="s">
        <v>2</v>
      </c>
      <c r="D138" s="5" t="n">
        <v>75.4</v>
      </c>
      <c r="E138" s="5" t="n">
        <v>78</v>
      </c>
      <c r="F138" s="5" t="n">
        <v>75</v>
      </c>
      <c r="G138" s="5" t="n">
        <v>78</v>
      </c>
      <c r="H138" s="5" t="n">
        <v>75.4</v>
      </c>
      <c r="I138" s="5" t="n">
        <v>76.5</v>
      </c>
      <c r="K138" s="29" t="n">
        <v>32.666</v>
      </c>
      <c r="L138" s="30" t="n">
        <v>433236</v>
      </c>
    </row>
    <row r="139" customFormat="false" ht="15" hidden="false" customHeight="true" outlineLevel="0" collapsed="false">
      <c r="A139" s="8" t="n">
        <v>137</v>
      </c>
      <c r="B139" s="28" t="n">
        <v>45547</v>
      </c>
      <c r="C139" s="8" t="s">
        <v>2</v>
      </c>
      <c r="D139" s="5" t="n">
        <v>76.5</v>
      </c>
      <c r="E139" s="5" t="n">
        <v>77.3</v>
      </c>
      <c r="F139" s="5" t="n">
        <v>75</v>
      </c>
      <c r="G139" s="5" t="n">
        <v>75.3</v>
      </c>
      <c r="H139" s="5" t="n">
        <v>76.5</v>
      </c>
      <c r="I139" s="5" t="n">
        <v>75.3</v>
      </c>
      <c r="K139" s="29" t="n">
        <v>76.629</v>
      </c>
      <c r="L139" s="30" t="n">
        <v>1001689</v>
      </c>
    </row>
    <row r="140" customFormat="false" ht="15" hidden="false" customHeight="true" outlineLevel="0" collapsed="false">
      <c r="A140" s="8" t="n">
        <v>138</v>
      </c>
      <c r="B140" s="28" t="n">
        <v>45546</v>
      </c>
      <c r="C140" s="8" t="s">
        <v>2</v>
      </c>
      <c r="D140" s="5" t="n">
        <v>75.3</v>
      </c>
      <c r="E140" s="5" t="n">
        <v>78</v>
      </c>
      <c r="F140" s="5" t="n">
        <v>74.9</v>
      </c>
      <c r="G140" s="5" t="n">
        <v>76.2</v>
      </c>
      <c r="H140" s="5" t="n">
        <v>75.3</v>
      </c>
      <c r="I140" s="5" t="n">
        <v>74.9</v>
      </c>
      <c r="K140" s="29" t="n">
        <v>54.242</v>
      </c>
      <c r="L140" s="30" t="n">
        <v>720344</v>
      </c>
    </row>
    <row r="141" customFormat="false" ht="15" hidden="false" customHeight="true" outlineLevel="0" collapsed="false">
      <c r="A141" s="8" t="n">
        <v>139</v>
      </c>
      <c r="B141" s="28" t="n">
        <v>45545</v>
      </c>
      <c r="C141" s="8" t="s">
        <v>2</v>
      </c>
      <c r="D141" s="5" t="n">
        <v>74.9</v>
      </c>
      <c r="E141" s="5" t="n">
        <v>75.9</v>
      </c>
      <c r="F141" s="5" t="n">
        <v>73.5</v>
      </c>
      <c r="G141" s="5" t="n">
        <v>75.5</v>
      </c>
      <c r="H141" s="5" t="n">
        <v>74.9</v>
      </c>
      <c r="I141" s="5" t="n">
        <v>74.1</v>
      </c>
      <c r="K141" s="29" t="n">
        <v>35.17</v>
      </c>
      <c r="L141" s="30" t="n">
        <v>469557</v>
      </c>
    </row>
    <row r="142" customFormat="false" ht="15" hidden="false" customHeight="true" outlineLevel="0" collapsed="false">
      <c r="A142" s="8" t="n">
        <v>140</v>
      </c>
      <c r="B142" s="28" t="n">
        <v>45544</v>
      </c>
      <c r="C142" s="8" t="s">
        <v>2</v>
      </c>
      <c r="D142" s="5" t="n">
        <v>74.1</v>
      </c>
      <c r="E142" s="5" t="n">
        <v>78</v>
      </c>
      <c r="F142" s="5" t="n">
        <v>73.1</v>
      </c>
      <c r="G142" s="5" t="n">
        <v>78</v>
      </c>
      <c r="H142" s="5" t="n">
        <v>74.1</v>
      </c>
      <c r="I142" s="5" t="n">
        <v>77.8</v>
      </c>
      <c r="K142" s="29" t="n">
        <v>60.171</v>
      </c>
      <c r="L142" s="30" t="n">
        <v>812027</v>
      </c>
    </row>
    <row r="143" customFormat="false" ht="15" hidden="false" customHeight="true" outlineLevel="0" collapsed="false">
      <c r="A143" s="8" t="n">
        <v>141</v>
      </c>
      <c r="B143" s="28" t="n">
        <v>45543</v>
      </c>
      <c r="C143" s="8" t="s">
        <v>2</v>
      </c>
      <c r="D143" s="5" t="n">
        <v>77.8</v>
      </c>
      <c r="E143" s="5" t="n">
        <v>79.8</v>
      </c>
      <c r="F143" s="5" t="n">
        <v>76.5</v>
      </c>
      <c r="G143" s="5" t="n">
        <v>78.9</v>
      </c>
      <c r="H143" s="5" t="n">
        <v>77.8</v>
      </c>
      <c r="I143" s="5" t="n">
        <v>76.5</v>
      </c>
      <c r="K143" s="29" t="n">
        <v>95.253</v>
      </c>
      <c r="L143" s="30" t="n">
        <v>1224336</v>
      </c>
    </row>
    <row r="144" customFormat="false" ht="15" hidden="false" customHeight="true" outlineLevel="0" collapsed="false">
      <c r="A144" s="8" t="n">
        <v>142</v>
      </c>
      <c r="B144" s="28" t="n">
        <v>45540</v>
      </c>
      <c r="C144" s="8" t="s">
        <v>2</v>
      </c>
      <c r="D144" s="5" t="n">
        <v>76.5</v>
      </c>
      <c r="E144" s="5" t="n">
        <v>77.5</v>
      </c>
      <c r="F144" s="5" t="n">
        <v>73</v>
      </c>
      <c r="G144" s="5" t="n">
        <v>74</v>
      </c>
      <c r="H144" s="5" t="n">
        <v>76.5</v>
      </c>
      <c r="I144" s="5" t="n">
        <v>73.3</v>
      </c>
      <c r="K144" s="29" t="n">
        <v>56.643</v>
      </c>
      <c r="L144" s="30" t="n">
        <v>740427</v>
      </c>
    </row>
    <row r="145" customFormat="false" ht="15" hidden="false" customHeight="true" outlineLevel="0" collapsed="false">
      <c r="A145" s="8" t="n">
        <v>143</v>
      </c>
      <c r="B145" s="28" t="n">
        <v>45539</v>
      </c>
      <c r="C145" s="8" t="s">
        <v>2</v>
      </c>
      <c r="D145" s="5" t="n">
        <v>73.3</v>
      </c>
      <c r="E145" s="5" t="n">
        <v>75.6</v>
      </c>
      <c r="F145" s="5" t="n">
        <v>72.4</v>
      </c>
      <c r="G145" s="5" t="n">
        <v>74.5</v>
      </c>
      <c r="H145" s="5" t="n">
        <v>73.3</v>
      </c>
      <c r="I145" s="5" t="n">
        <v>72.8</v>
      </c>
      <c r="K145" s="29" t="n">
        <v>32.474</v>
      </c>
      <c r="L145" s="30" t="n">
        <v>443030</v>
      </c>
    </row>
    <row r="146" customFormat="false" ht="15" hidden="false" customHeight="true" outlineLevel="0" collapsed="false">
      <c r="A146" s="8" t="n">
        <v>144</v>
      </c>
      <c r="B146" s="28" t="n">
        <v>45538</v>
      </c>
      <c r="C146" s="8" t="s">
        <v>2</v>
      </c>
      <c r="D146" s="5" t="n">
        <v>72.8</v>
      </c>
      <c r="E146" s="5" t="n">
        <v>75.4</v>
      </c>
      <c r="F146" s="5" t="n">
        <v>72.3</v>
      </c>
      <c r="G146" s="5" t="n">
        <v>74.1</v>
      </c>
      <c r="H146" s="5" t="n">
        <v>72.8</v>
      </c>
      <c r="I146" s="5" t="n">
        <v>74.1</v>
      </c>
      <c r="K146" s="29" t="n">
        <v>34.22</v>
      </c>
      <c r="L146" s="30" t="n">
        <v>470055</v>
      </c>
    </row>
    <row r="147" customFormat="false" ht="15" hidden="false" customHeight="true" outlineLevel="0" collapsed="false">
      <c r="A147" s="8" t="n">
        <v>145</v>
      </c>
      <c r="B147" s="28" t="n">
        <v>45537</v>
      </c>
      <c r="C147" s="8" t="s">
        <v>2</v>
      </c>
      <c r="D147" s="5" t="n">
        <v>74.1</v>
      </c>
      <c r="E147" s="5" t="n">
        <v>78.5</v>
      </c>
      <c r="F147" s="5" t="n">
        <v>73.9</v>
      </c>
      <c r="G147" s="5" t="n">
        <v>78.5</v>
      </c>
      <c r="H147" s="5" t="n">
        <v>74.1</v>
      </c>
      <c r="I147" s="5" t="n">
        <v>76.6</v>
      </c>
      <c r="K147" s="29" t="n">
        <v>61.183</v>
      </c>
      <c r="L147" s="30" t="n">
        <v>825685</v>
      </c>
    </row>
    <row r="148" customFormat="false" ht="15" hidden="false" customHeight="true" outlineLevel="0" collapsed="false">
      <c r="A148" s="8" t="n">
        <v>146</v>
      </c>
      <c r="B148" s="28" t="n">
        <v>45536</v>
      </c>
      <c r="C148" s="8" t="s">
        <v>2</v>
      </c>
      <c r="D148" s="5" t="n">
        <v>76.6</v>
      </c>
      <c r="E148" s="5" t="n">
        <v>82</v>
      </c>
      <c r="F148" s="5" t="n">
        <v>76</v>
      </c>
      <c r="G148" s="5" t="n">
        <v>82</v>
      </c>
      <c r="H148" s="5" t="n">
        <v>76.6</v>
      </c>
      <c r="I148" s="5" t="n">
        <v>76.2</v>
      </c>
      <c r="K148" s="29" t="n">
        <v>64.464</v>
      </c>
      <c r="L148" s="30" t="n">
        <v>841571</v>
      </c>
    </row>
    <row r="149" customFormat="false" ht="15" hidden="false" customHeight="true" outlineLevel="0" collapsed="false">
      <c r="A149" s="8" t="n">
        <v>147</v>
      </c>
      <c r="B149" s="28" t="n">
        <v>45533</v>
      </c>
      <c r="C149" s="8" t="s">
        <v>2</v>
      </c>
      <c r="D149" s="5" t="n">
        <v>76.2</v>
      </c>
      <c r="E149" s="5" t="n">
        <v>79</v>
      </c>
      <c r="F149" s="5" t="n">
        <v>74</v>
      </c>
      <c r="G149" s="5" t="n">
        <v>74</v>
      </c>
      <c r="H149" s="5" t="n">
        <v>76.2</v>
      </c>
      <c r="I149" s="5" t="n">
        <v>76.7</v>
      </c>
      <c r="K149" s="29" t="n">
        <v>106.15</v>
      </c>
      <c r="L149" s="30" t="n">
        <v>1393048</v>
      </c>
    </row>
    <row r="150" customFormat="false" ht="15" hidden="false" customHeight="true" outlineLevel="0" collapsed="false">
      <c r="A150" s="8" t="n">
        <v>148</v>
      </c>
      <c r="B150" s="28" t="n">
        <v>45532</v>
      </c>
      <c r="C150" s="8" t="s">
        <v>2</v>
      </c>
      <c r="D150" s="5" t="n">
        <v>76.7</v>
      </c>
      <c r="E150" s="5" t="n">
        <v>79</v>
      </c>
      <c r="F150" s="5" t="n">
        <v>76.7</v>
      </c>
      <c r="G150" s="5" t="n">
        <v>79</v>
      </c>
      <c r="H150" s="5" t="n">
        <v>76.7</v>
      </c>
      <c r="I150" s="5" t="n">
        <v>79</v>
      </c>
      <c r="K150" s="29" t="n">
        <v>149.338</v>
      </c>
      <c r="L150" s="30" t="n">
        <v>1947046</v>
      </c>
    </row>
    <row r="151" customFormat="false" ht="15" hidden="false" customHeight="true" outlineLevel="0" collapsed="false">
      <c r="A151" s="8" t="n">
        <v>149</v>
      </c>
      <c r="B151" s="28" t="n">
        <v>45531</v>
      </c>
      <c r="C151" s="8" t="s">
        <v>2</v>
      </c>
      <c r="D151" s="5" t="n">
        <v>79</v>
      </c>
      <c r="E151" s="5" t="n">
        <v>81.5</v>
      </c>
      <c r="F151" s="5" t="n">
        <v>73.8</v>
      </c>
      <c r="G151" s="5" t="n">
        <v>75</v>
      </c>
      <c r="H151" s="5" t="n">
        <v>79</v>
      </c>
      <c r="I151" s="5" t="n">
        <v>74.9</v>
      </c>
      <c r="K151" s="29" t="n">
        <v>120.423</v>
      </c>
      <c r="L151" s="30" t="n">
        <v>1524347</v>
      </c>
    </row>
    <row r="152" customFormat="false" ht="15" hidden="false" customHeight="true" outlineLevel="0" collapsed="false">
      <c r="A152" s="8" t="n">
        <v>150</v>
      </c>
      <c r="B152" s="28" t="n">
        <v>45529</v>
      </c>
      <c r="C152" s="8" t="s">
        <v>2</v>
      </c>
      <c r="D152" s="5" t="n">
        <v>74.9</v>
      </c>
      <c r="E152" s="5" t="n">
        <v>77.1</v>
      </c>
      <c r="F152" s="5" t="n">
        <v>71.4</v>
      </c>
      <c r="G152" s="5" t="n">
        <v>71.4</v>
      </c>
      <c r="H152" s="5" t="n">
        <v>74.9</v>
      </c>
      <c r="I152" s="5" t="n">
        <v>73.6</v>
      </c>
      <c r="K152" s="29" t="n">
        <v>159.968</v>
      </c>
      <c r="L152" s="30" t="n">
        <v>2135755</v>
      </c>
    </row>
    <row r="153" customFormat="false" ht="15" hidden="false" customHeight="true" outlineLevel="0" collapsed="false">
      <c r="A153" s="8" t="n">
        <v>151</v>
      </c>
      <c r="B153" s="28" t="n">
        <v>45526</v>
      </c>
      <c r="C153" s="8" t="s">
        <v>2</v>
      </c>
      <c r="D153" s="5" t="n">
        <v>73.6</v>
      </c>
      <c r="E153" s="5" t="n">
        <v>73.6</v>
      </c>
      <c r="F153" s="5" t="n">
        <v>73.6</v>
      </c>
      <c r="G153" s="5" t="n">
        <v>73.6</v>
      </c>
      <c r="H153" s="5" t="n">
        <v>73.6</v>
      </c>
      <c r="I153" s="5" t="n">
        <v>75.8</v>
      </c>
      <c r="K153" s="29" t="n">
        <v>12.883</v>
      </c>
      <c r="L153" s="30" t="n">
        <v>175046</v>
      </c>
    </row>
    <row r="154" customFormat="false" ht="15" hidden="false" customHeight="true" outlineLevel="0" collapsed="false">
      <c r="A154" s="8" t="n">
        <v>152</v>
      </c>
      <c r="B154" s="28" t="n">
        <v>45525</v>
      </c>
      <c r="C154" s="8" t="s">
        <v>2</v>
      </c>
      <c r="D154" s="5" t="n">
        <v>75.8</v>
      </c>
      <c r="E154" s="5" t="n">
        <v>75.8</v>
      </c>
      <c r="F154" s="5" t="n">
        <v>75.8</v>
      </c>
      <c r="G154" s="5" t="n">
        <v>75.8</v>
      </c>
      <c r="H154" s="5" t="n">
        <v>75.8</v>
      </c>
      <c r="I154" s="5" t="n">
        <v>78.1</v>
      </c>
      <c r="K154" s="29" t="n">
        <v>8.92</v>
      </c>
      <c r="L154" s="30" t="n">
        <v>117674</v>
      </c>
    </row>
    <row r="155" customFormat="false" ht="15" hidden="false" customHeight="true" outlineLevel="0" collapsed="false">
      <c r="A155" s="8" t="n">
        <v>153</v>
      </c>
      <c r="B155" s="28" t="n">
        <v>45524</v>
      </c>
      <c r="C155" s="8" t="s">
        <v>2</v>
      </c>
      <c r="D155" s="5" t="n">
        <v>78.1</v>
      </c>
      <c r="E155" s="5" t="n">
        <v>78.1</v>
      </c>
      <c r="F155" s="5" t="n">
        <v>78.1</v>
      </c>
      <c r="G155" s="5" t="n">
        <v>78.1</v>
      </c>
      <c r="H155" s="5" t="n">
        <v>78.1</v>
      </c>
      <c r="I155" s="5" t="n">
        <v>80.5</v>
      </c>
      <c r="K155" s="29" t="n">
        <v>17.882</v>
      </c>
      <c r="L155" s="30" t="n">
        <v>228959</v>
      </c>
    </row>
    <row r="156" customFormat="false" ht="15" hidden="false" customHeight="true" outlineLevel="0" collapsed="false">
      <c r="A156" s="8" t="n">
        <v>154</v>
      </c>
      <c r="B156" s="28" t="n">
        <v>45523</v>
      </c>
      <c r="C156" s="8" t="s">
        <v>2</v>
      </c>
      <c r="D156" s="5" t="n">
        <v>80.5</v>
      </c>
      <c r="E156" s="5" t="n">
        <v>80.5</v>
      </c>
      <c r="F156" s="5" t="n">
        <v>80.5</v>
      </c>
      <c r="G156" s="5" t="n">
        <v>80.5</v>
      </c>
      <c r="H156" s="5" t="n">
        <v>80.5</v>
      </c>
      <c r="I156" s="5" t="n">
        <v>82.9</v>
      </c>
      <c r="K156" s="29" t="n">
        <v>21.364</v>
      </c>
      <c r="L156" s="30" t="n">
        <v>265391</v>
      </c>
    </row>
    <row r="157" customFormat="false" ht="15" hidden="false" customHeight="true" outlineLevel="0" collapsed="false">
      <c r="A157" s="8" t="n">
        <v>155</v>
      </c>
      <c r="B157" s="28" t="n">
        <v>45522</v>
      </c>
      <c r="C157" s="8" t="s">
        <v>2</v>
      </c>
      <c r="D157" s="5" t="n">
        <v>82.9</v>
      </c>
      <c r="E157" s="5" t="n">
        <v>82.9</v>
      </c>
      <c r="F157" s="5" t="n">
        <v>82.9</v>
      </c>
      <c r="G157" s="5" t="n">
        <v>82.9</v>
      </c>
      <c r="H157" s="5" t="n">
        <v>82.9</v>
      </c>
      <c r="I157" s="5" t="n">
        <v>85.4</v>
      </c>
      <c r="K157" s="29" t="n">
        <v>16.468</v>
      </c>
      <c r="L157" s="30" t="n">
        <v>198652</v>
      </c>
    </row>
    <row r="158" customFormat="false" ht="15" hidden="false" customHeight="true" outlineLevel="0" collapsed="false">
      <c r="A158" s="8" t="n">
        <v>156</v>
      </c>
      <c r="B158" s="28" t="n">
        <v>45519</v>
      </c>
      <c r="C158" s="8" t="s">
        <v>2</v>
      </c>
      <c r="D158" s="5" t="n">
        <v>85.4</v>
      </c>
      <c r="E158" s="5" t="n">
        <v>91</v>
      </c>
      <c r="F158" s="5" t="n">
        <v>85.4</v>
      </c>
      <c r="G158" s="5" t="n">
        <v>88</v>
      </c>
      <c r="H158" s="5" t="n">
        <v>85.4</v>
      </c>
      <c r="I158" s="5" t="n">
        <v>88</v>
      </c>
      <c r="K158" s="29" t="n">
        <v>77.196</v>
      </c>
      <c r="L158" s="30" t="n">
        <v>903938</v>
      </c>
    </row>
    <row r="159" customFormat="false" ht="15" hidden="false" customHeight="true" outlineLevel="0" collapsed="false">
      <c r="A159" s="8" t="n">
        <v>157</v>
      </c>
      <c r="B159" s="28" t="n">
        <v>45518</v>
      </c>
      <c r="C159" s="8" t="s">
        <v>2</v>
      </c>
      <c r="D159" s="5" t="n">
        <v>88</v>
      </c>
      <c r="E159" s="5" t="n">
        <v>93.6</v>
      </c>
      <c r="F159" s="5" t="n">
        <v>85.3</v>
      </c>
      <c r="G159" s="5" t="n">
        <v>85.3</v>
      </c>
      <c r="H159" s="5" t="n">
        <v>88</v>
      </c>
      <c r="I159" s="5" t="n">
        <v>87.9</v>
      </c>
      <c r="K159" s="29" t="n">
        <v>499.815</v>
      </c>
      <c r="L159" s="30" t="n">
        <v>5679711</v>
      </c>
    </row>
    <row r="160" customFormat="false" ht="15" hidden="false" customHeight="true" outlineLevel="0" collapsed="false">
      <c r="A160" s="8" t="n">
        <v>158</v>
      </c>
      <c r="B160" s="28" t="n">
        <v>45517</v>
      </c>
      <c r="C160" s="8" t="s">
        <v>2</v>
      </c>
      <c r="D160" s="5" t="n">
        <v>87.9</v>
      </c>
      <c r="E160" s="5" t="n">
        <v>87.9</v>
      </c>
      <c r="F160" s="5" t="n">
        <v>87.9</v>
      </c>
      <c r="G160" s="5" t="n">
        <v>87.9</v>
      </c>
      <c r="H160" s="5" t="n">
        <v>87.9</v>
      </c>
      <c r="I160" s="5" t="n">
        <v>90.6</v>
      </c>
      <c r="K160" s="29" t="n">
        <v>3.163</v>
      </c>
      <c r="L160" s="30" t="n">
        <v>35980</v>
      </c>
    </row>
    <row r="161" customFormat="false" ht="15" hidden="false" customHeight="true" outlineLevel="0" collapsed="false">
      <c r="A161" s="8" t="n">
        <v>159</v>
      </c>
      <c r="B161" s="28" t="n">
        <v>45516</v>
      </c>
      <c r="C161" s="8" t="s">
        <v>2</v>
      </c>
      <c r="D161" s="5" t="n">
        <v>90.6</v>
      </c>
      <c r="E161" s="5" t="n">
        <v>90.6</v>
      </c>
      <c r="F161" s="5" t="n">
        <v>90.6</v>
      </c>
      <c r="G161" s="5" t="n">
        <v>90.6</v>
      </c>
      <c r="H161" s="5" t="n">
        <v>90.6</v>
      </c>
      <c r="I161" s="5" t="n">
        <v>93.4</v>
      </c>
      <c r="K161" s="29" t="n">
        <v>3.062</v>
      </c>
      <c r="L161" s="30" t="n">
        <v>33793</v>
      </c>
    </row>
    <row r="162" customFormat="false" ht="15" hidden="false" customHeight="true" outlineLevel="0" collapsed="false">
      <c r="A162" s="8" t="n">
        <v>160</v>
      </c>
      <c r="B162" s="28" t="n">
        <v>45515</v>
      </c>
      <c r="C162" s="8" t="s">
        <v>2</v>
      </c>
      <c r="D162" s="5" t="n">
        <v>93.4</v>
      </c>
      <c r="E162" s="5" t="n">
        <v>93.4</v>
      </c>
      <c r="F162" s="5" t="n">
        <v>93.4</v>
      </c>
      <c r="G162" s="5" t="n">
        <v>93.4</v>
      </c>
      <c r="H162" s="5" t="n">
        <v>93.4</v>
      </c>
      <c r="I162" s="5" t="n">
        <v>96.2</v>
      </c>
      <c r="K162" s="29" t="n">
        <v>40.408</v>
      </c>
      <c r="L162" s="30" t="n">
        <v>432633</v>
      </c>
    </row>
    <row r="163" customFormat="false" ht="15" hidden="false" customHeight="true" outlineLevel="0" collapsed="false">
      <c r="A163" s="8" t="n">
        <v>161</v>
      </c>
      <c r="B163" s="28" t="n">
        <v>45512</v>
      </c>
      <c r="C163" s="8" t="s">
        <v>2</v>
      </c>
      <c r="D163" s="5" t="n">
        <v>96.2</v>
      </c>
      <c r="E163" s="5" t="n">
        <v>96.2</v>
      </c>
      <c r="F163" s="5" t="n">
        <v>96.2</v>
      </c>
      <c r="G163" s="5" t="n">
        <v>96.2</v>
      </c>
      <c r="H163" s="5" t="n">
        <v>96.2</v>
      </c>
      <c r="I163" s="5" t="n">
        <v>99.1</v>
      </c>
      <c r="K163" s="29" t="n">
        <v>32.296</v>
      </c>
      <c r="L163" s="30" t="n">
        <v>335716</v>
      </c>
    </row>
    <row r="164" customFormat="false" ht="15" hidden="false" customHeight="true" outlineLevel="0" collapsed="false">
      <c r="A164" s="8" t="n">
        <v>162</v>
      </c>
      <c r="B164" s="28" t="n">
        <v>45511</v>
      </c>
      <c r="C164" s="8" t="s">
        <v>2</v>
      </c>
      <c r="D164" s="5" t="n">
        <v>99.1</v>
      </c>
      <c r="E164" s="5" t="n">
        <v>99.1</v>
      </c>
      <c r="F164" s="5" t="n">
        <v>99.1</v>
      </c>
      <c r="G164" s="5" t="n">
        <v>99.1</v>
      </c>
      <c r="H164" s="5" t="n">
        <v>99.1</v>
      </c>
      <c r="I164" s="5" t="n">
        <v>102.1</v>
      </c>
      <c r="K164" s="29" t="n">
        <v>20.608</v>
      </c>
      <c r="L164" s="30" t="n">
        <v>207948</v>
      </c>
    </row>
    <row r="165" customFormat="false" ht="15" hidden="false" customHeight="true" outlineLevel="0" collapsed="false">
      <c r="A165" s="8" t="n">
        <v>163</v>
      </c>
      <c r="B165" s="28" t="n">
        <v>45510</v>
      </c>
      <c r="C165" s="8" t="s">
        <v>2</v>
      </c>
      <c r="D165" s="5" t="n">
        <v>102.1</v>
      </c>
      <c r="E165" s="5" t="n">
        <v>106</v>
      </c>
      <c r="F165" s="5" t="n">
        <v>102.1</v>
      </c>
      <c r="G165" s="5" t="n">
        <v>102.5</v>
      </c>
      <c r="H165" s="5" t="n">
        <v>102.1</v>
      </c>
      <c r="I165" s="5" t="n">
        <v>105.2</v>
      </c>
      <c r="K165" s="29" t="n">
        <v>1.706</v>
      </c>
      <c r="L165" s="30" t="n">
        <v>16708</v>
      </c>
    </row>
    <row r="166" customFormat="false" ht="15" hidden="false" customHeight="true" outlineLevel="0" collapsed="false">
      <c r="A166" s="8" t="n">
        <v>164</v>
      </c>
      <c r="B166" s="28" t="n">
        <v>45508</v>
      </c>
      <c r="C166" s="8" t="s">
        <v>2</v>
      </c>
      <c r="D166" s="5" t="n">
        <v>105.2</v>
      </c>
      <c r="E166" s="5" t="n">
        <v>106.6</v>
      </c>
      <c r="F166" s="5" t="n">
        <v>105.2</v>
      </c>
      <c r="G166" s="5" t="n">
        <v>106.6</v>
      </c>
      <c r="H166" s="5" t="n">
        <v>105.2</v>
      </c>
      <c r="I166" s="5" t="n">
        <v>108.4</v>
      </c>
      <c r="K166" s="29" t="n">
        <v>20.02</v>
      </c>
      <c r="L166" s="30" t="n">
        <v>190302</v>
      </c>
    </row>
    <row r="167" customFormat="false" ht="15" hidden="false" customHeight="true" outlineLevel="0" collapsed="false">
      <c r="A167" s="8" t="n">
        <v>165</v>
      </c>
      <c r="B167" s="28" t="n">
        <v>45505</v>
      </c>
      <c r="C167" s="8" t="s">
        <v>2</v>
      </c>
      <c r="D167" s="5" t="n">
        <v>108.4</v>
      </c>
      <c r="E167" s="5" t="n">
        <v>110</v>
      </c>
      <c r="F167" s="5" t="n">
        <v>106.3</v>
      </c>
      <c r="G167" s="5" t="n">
        <v>106.3</v>
      </c>
      <c r="H167" s="5" t="n">
        <v>108.4</v>
      </c>
      <c r="I167" s="5" t="n">
        <v>106.3</v>
      </c>
      <c r="K167" s="29" t="n">
        <v>28.359</v>
      </c>
      <c r="L167" s="30" t="n">
        <v>261612</v>
      </c>
    </row>
    <row r="168" customFormat="false" ht="15" hidden="false" customHeight="true" outlineLevel="0" collapsed="false">
      <c r="A168" s="8" t="n">
        <v>166</v>
      </c>
      <c r="B168" s="28" t="n">
        <v>45504</v>
      </c>
      <c r="C168" s="8" t="s">
        <v>2</v>
      </c>
      <c r="D168" s="5" t="n">
        <v>106.3</v>
      </c>
      <c r="E168" s="5" t="n">
        <v>112</v>
      </c>
      <c r="F168" s="5" t="n">
        <v>103.7</v>
      </c>
      <c r="G168" s="5" t="n">
        <v>103.7</v>
      </c>
      <c r="H168" s="5" t="n">
        <v>106.3</v>
      </c>
      <c r="I168" s="5" t="n">
        <v>106.9</v>
      </c>
      <c r="K168" s="29" t="n">
        <v>25.972</v>
      </c>
      <c r="L168" s="30" t="n">
        <v>244323</v>
      </c>
    </row>
    <row r="169" customFormat="false" ht="15" hidden="false" customHeight="true" outlineLevel="0" collapsed="false">
      <c r="A169" s="8" t="n">
        <v>167</v>
      </c>
      <c r="B169" s="28" t="n">
        <v>45503</v>
      </c>
      <c r="C169" s="8" t="s">
        <v>2</v>
      </c>
      <c r="D169" s="5" t="n">
        <v>106.9</v>
      </c>
      <c r="E169" s="5" t="n">
        <v>107.9</v>
      </c>
      <c r="F169" s="5" t="n">
        <v>105.9</v>
      </c>
      <c r="G169" s="5" t="n">
        <v>106.7</v>
      </c>
      <c r="H169" s="5" t="n">
        <v>106.9</v>
      </c>
      <c r="I169" s="5" t="n">
        <v>109.1</v>
      </c>
      <c r="K169" s="29" t="n">
        <v>28.968</v>
      </c>
      <c r="L169" s="30" t="n">
        <v>270982</v>
      </c>
    </row>
    <row r="170" customFormat="false" ht="15" hidden="false" customHeight="true" outlineLevel="0" collapsed="false">
      <c r="A170" s="8" t="n">
        <v>168</v>
      </c>
      <c r="B170" s="28" t="n">
        <v>45502</v>
      </c>
      <c r="C170" s="8" t="s">
        <v>2</v>
      </c>
      <c r="D170" s="5" t="n">
        <v>109.1</v>
      </c>
      <c r="E170" s="5" t="n">
        <v>113.7</v>
      </c>
      <c r="F170" s="5" t="n">
        <v>109.1</v>
      </c>
      <c r="G170" s="5" t="n">
        <v>111.5</v>
      </c>
      <c r="H170" s="5" t="n">
        <v>109.1</v>
      </c>
      <c r="I170" s="5" t="n">
        <v>112.4</v>
      </c>
      <c r="K170" s="29" t="n">
        <v>19.266</v>
      </c>
      <c r="L170" s="30" t="n">
        <v>176586</v>
      </c>
    </row>
    <row r="171" customFormat="false" ht="15" hidden="false" customHeight="true" outlineLevel="0" collapsed="false">
      <c r="A171" s="8" t="n">
        <v>169</v>
      </c>
      <c r="B171" s="28" t="n">
        <v>45501</v>
      </c>
      <c r="C171" s="8" t="s">
        <v>2</v>
      </c>
      <c r="D171" s="5" t="n">
        <v>112.4</v>
      </c>
      <c r="E171" s="5" t="n">
        <v>115.7</v>
      </c>
      <c r="F171" s="5" t="n">
        <v>111.5</v>
      </c>
      <c r="G171" s="5" t="n">
        <v>115.7</v>
      </c>
      <c r="H171" s="5" t="n">
        <v>112.4</v>
      </c>
      <c r="I171" s="5" t="n">
        <v>114.1</v>
      </c>
      <c r="K171" s="29" t="n">
        <v>6.875</v>
      </c>
      <c r="L171" s="30" t="n">
        <v>61162</v>
      </c>
    </row>
    <row r="172" customFormat="false" ht="15" hidden="false" customHeight="true" outlineLevel="0" collapsed="false">
      <c r="A172" s="8" t="n">
        <v>170</v>
      </c>
      <c r="B172" s="28" t="n">
        <v>45498</v>
      </c>
      <c r="C172" s="8" t="s">
        <v>2</v>
      </c>
      <c r="D172" s="5" t="n">
        <v>114.1</v>
      </c>
      <c r="E172" s="5" t="n">
        <v>114.8</v>
      </c>
      <c r="F172" s="5" t="n">
        <v>108.6</v>
      </c>
      <c r="G172" s="5" t="n">
        <v>108.6</v>
      </c>
      <c r="H172" s="5" t="n">
        <v>114.1</v>
      </c>
      <c r="I172" s="5" t="n">
        <v>110.2</v>
      </c>
      <c r="K172" s="29" t="n">
        <v>9.905</v>
      </c>
      <c r="L172" s="30" t="n">
        <v>86814</v>
      </c>
    </row>
    <row r="173" customFormat="false" ht="15" hidden="false" customHeight="true" outlineLevel="0" collapsed="false">
      <c r="A173" s="8" t="n">
        <v>171</v>
      </c>
      <c r="B173" s="28" t="n">
        <v>45497</v>
      </c>
      <c r="C173" s="8" t="s">
        <v>2</v>
      </c>
      <c r="D173" s="5" t="n">
        <v>110.2</v>
      </c>
      <c r="E173" s="5" t="n">
        <v>119.4</v>
      </c>
      <c r="F173" s="5" t="n">
        <v>110.2</v>
      </c>
      <c r="G173" s="5" t="n">
        <v>113.6</v>
      </c>
      <c r="H173" s="5" t="n">
        <v>110.2</v>
      </c>
      <c r="I173" s="5" t="n">
        <v>113.6</v>
      </c>
      <c r="K173" s="29" t="n">
        <v>7.09</v>
      </c>
      <c r="L173" s="30" t="n">
        <v>64336</v>
      </c>
    </row>
    <row r="174" customFormat="false" ht="15" hidden="false" customHeight="true" outlineLevel="0" collapsed="false">
      <c r="A174" s="8" t="n">
        <v>172</v>
      </c>
      <c r="B174" s="28" t="n">
        <v>45491</v>
      </c>
      <c r="C174" s="8" t="s">
        <v>2</v>
      </c>
      <c r="D174" s="5" t="n">
        <v>113.6</v>
      </c>
      <c r="E174" s="5" t="n">
        <v>117.9</v>
      </c>
      <c r="F174" s="5" t="n">
        <v>112.1</v>
      </c>
      <c r="G174" s="5" t="n">
        <v>117.9</v>
      </c>
      <c r="H174" s="5" t="n">
        <v>113.6</v>
      </c>
      <c r="I174" s="5" t="n">
        <v>115.5</v>
      </c>
      <c r="K174" s="29" t="n">
        <v>18.565</v>
      </c>
      <c r="L174" s="30" t="n">
        <v>163426</v>
      </c>
    </row>
    <row r="175" customFormat="false" ht="15" hidden="false" customHeight="true" outlineLevel="0" collapsed="false">
      <c r="A175" s="8" t="n">
        <v>173</v>
      </c>
      <c r="B175" s="28" t="n">
        <v>45489</v>
      </c>
      <c r="C175" s="8" t="s">
        <v>2</v>
      </c>
      <c r="D175" s="5" t="n">
        <v>115.5</v>
      </c>
      <c r="E175" s="5" t="n">
        <v>119</v>
      </c>
      <c r="F175" s="5" t="n">
        <v>115</v>
      </c>
      <c r="G175" s="5" t="n">
        <v>118.5</v>
      </c>
      <c r="H175" s="5" t="n">
        <v>115.5</v>
      </c>
      <c r="I175" s="5" t="n">
        <v>118.5</v>
      </c>
      <c r="K175" s="29" t="n">
        <v>15.5</v>
      </c>
      <c r="L175" s="30" t="n">
        <v>134199</v>
      </c>
    </row>
    <row r="176" customFormat="false" ht="15" hidden="false" customHeight="true" outlineLevel="0" collapsed="false">
      <c r="A176" s="8" t="n">
        <v>174</v>
      </c>
      <c r="B176" s="28" t="n">
        <v>45488</v>
      </c>
      <c r="C176" s="8" t="s">
        <v>2</v>
      </c>
      <c r="D176" s="5" t="n">
        <v>118.5</v>
      </c>
      <c r="E176" s="5" t="n">
        <v>121</v>
      </c>
      <c r="F176" s="5" t="n">
        <v>117.2</v>
      </c>
      <c r="G176" s="5" t="n">
        <v>121</v>
      </c>
      <c r="H176" s="5" t="n">
        <v>118.5</v>
      </c>
      <c r="I176" s="5" t="n">
        <v>119.7</v>
      </c>
      <c r="K176" s="29" t="n">
        <v>20.766</v>
      </c>
      <c r="L176" s="30" t="n">
        <v>175242</v>
      </c>
    </row>
    <row r="177" customFormat="false" ht="15" hidden="false" customHeight="true" outlineLevel="0" collapsed="false">
      <c r="A177" s="8" t="n">
        <v>175</v>
      </c>
      <c r="B177" s="28" t="n">
        <v>45487</v>
      </c>
      <c r="C177" s="8" t="s">
        <v>2</v>
      </c>
      <c r="D177" s="5" t="n">
        <v>119.7</v>
      </c>
      <c r="E177" s="5" t="n">
        <v>121.9</v>
      </c>
      <c r="F177" s="5" t="n">
        <v>117</v>
      </c>
      <c r="G177" s="5" t="n">
        <v>121.9</v>
      </c>
      <c r="H177" s="5" t="n">
        <v>119.7</v>
      </c>
      <c r="I177" s="5" t="n">
        <v>120.6</v>
      </c>
      <c r="K177" s="29" t="n">
        <v>15.777</v>
      </c>
      <c r="L177" s="30" t="n">
        <v>131803</v>
      </c>
    </row>
    <row r="178" customFormat="false" ht="15" hidden="false" customHeight="true" outlineLevel="0" collapsed="false">
      <c r="A178" s="8" t="n">
        <v>176</v>
      </c>
      <c r="B178" s="28" t="n">
        <v>45484</v>
      </c>
      <c r="C178" s="8" t="s">
        <v>2</v>
      </c>
      <c r="D178" s="5" t="n">
        <v>120.6</v>
      </c>
      <c r="E178" s="5" t="n">
        <v>124</v>
      </c>
      <c r="F178" s="5" t="n">
        <v>120.6</v>
      </c>
      <c r="G178" s="5" t="n">
        <v>124</v>
      </c>
      <c r="H178" s="5" t="n">
        <v>120.6</v>
      </c>
      <c r="I178" s="5" t="n">
        <v>124.3</v>
      </c>
      <c r="K178" s="29" t="n">
        <v>21.87</v>
      </c>
      <c r="L178" s="30" t="n">
        <v>181343</v>
      </c>
    </row>
    <row r="179" customFormat="false" ht="15" hidden="false" customHeight="true" outlineLevel="0" collapsed="false">
      <c r="A179" s="8" t="n">
        <v>177</v>
      </c>
      <c r="B179" s="28" t="n">
        <v>45483</v>
      </c>
      <c r="C179" s="8" t="s">
        <v>2</v>
      </c>
      <c r="D179" s="5" t="n">
        <v>124.3</v>
      </c>
      <c r="E179" s="5" t="n">
        <v>125.9</v>
      </c>
      <c r="F179" s="5" t="n">
        <v>121.3</v>
      </c>
      <c r="G179" s="5" t="n">
        <v>123</v>
      </c>
      <c r="H179" s="5" t="n">
        <v>124.3</v>
      </c>
      <c r="I179" s="5" t="n">
        <v>122.7</v>
      </c>
      <c r="K179" s="29" t="n">
        <v>50.871</v>
      </c>
      <c r="L179" s="30" t="n">
        <v>409263</v>
      </c>
    </row>
    <row r="180" customFormat="false" ht="15" hidden="false" customHeight="true" outlineLevel="0" collapsed="false">
      <c r="A180" s="8" t="n">
        <v>178</v>
      </c>
      <c r="B180" s="28" t="n">
        <v>45482</v>
      </c>
      <c r="C180" s="8" t="s">
        <v>2</v>
      </c>
      <c r="D180" s="5" t="n">
        <v>122.7</v>
      </c>
      <c r="E180" s="5" t="n">
        <v>124.5</v>
      </c>
      <c r="F180" s="5" t="n">
        <v>121.1</v>
      </c>
      <c r="G180" s="5" t="n">
        <v>124.5</v>
      </c>
      <c r="H180" s="5" t="n">
        <v>122.7</v>
      </c>
      <c r="I180" s="5" t="n">
        <v>122</v>
      </c>
      <c r="K180" s="29" t="n">
        <v>18.473</v>
      </c>
      <c r="L180" s="30" t="n">
        <v>150551</v>
      </c>
    </row>
    <row r="181" customFormat="false" ht="15" hidden="false" customHeight="true" outlineLevel="0" collapsed="false">
      <c r="A181" s="8" t="n">
        <v>179</v>
      </c>
      <c r="B181" s="28" t="n">
        <v>45481</v>
      </c>
      <c r="C181" s="8" t="s">
        <v>2</v>
      </c>
      <c r="D181" s="5" t="n">
        <v>122</v>
      </c>
      <c r="E181" s="5" t="n">
        <v>124.9</v>
      </c>
      <c r="F181" s="5" t="n">
        <v>121</v>
      </c>
      <c r="G181" s="5" t="n">
        <v>121.7</v>
      </c>
      <c r="H181" s="5" t="n">
        <v>122</v>
      </c>
      <c r="I181" s="5" t="n">
        <v>123.1</v>
      </c>
      <c r="K181" s="29" t="n">
        <v>19.268</v>
      </c>
      <c r="L181" s="30" t="n">
        <v>157933</v>
      </c>
    </row>
    <row r="182" customFormat="false" ht="15" hidden="false" customHeight="true" outlineLevel="0" collapsed="false">
      <c r="A182" s="8" t="n">
        <v>180</v>
      </c>
      <c r="B182" s="28" t="n">
        <v>45480</v>
      </c>
      <c r="C182" s="8" t="s">
        <v>2</v>
      </c>
      <c r="D182" s="5" t="n">
        <v>123.1</v>
      </c>
      <c r="E182" s="5" t="n">
        <v>126.4</v>
      </c>
      <c r="F182" s="5" t="n">
        <v>122.5</v>
      </c>
      <c r="G182" s="5" t="n">
        <v>125.1</v>
      </c>
      <c r="H182" s="5" t="n">
        <v>123.1</v>
      </c>
      <c r="I182" s="5" t="n">
        <v>124.9</v>
      </c>
      <c r="K182" s="29" t="n">
        <v>35.683</v>
      </c>
      <c r="L182" s="30" t="n">
        <v>289869</v>
      </c>
    </row>
    <row r="183" customFormat="false" ht="15" hidden="false" customHeight="true" outlineLevel="0" collapsed="false">
      <c r="A183" s="8" t="n">
        <v>181</v>
      </c>
      <c r="B183" s="28" t="n">
        <v>45477</v>
      </c>
      <c r="C183" s="8" t="s">
        <v>2</v>
      </c>
      <c r="D183" s="5" t="n">
        <v>124.9</v>
      </c>
      <c r="E183" s="5" t="n">
        <v>127</v>
      </c>
      <c r="F183" s="5" t="n">
        <v>123.7</v>
      </c>
      <c r="G183" s="5" t="n">
        <v>125</v>
      </c>
      <c r="H183" s="5" t="n">
        <v>124.9</v>
      </c>
      <c r="I183" s="5" t="n">
        <v>123.7</v>
      </c>
      <c r="K183" s="29" t="n">
        <v>44.539</v>
      </c>
      <c r="L183" s="30" t="n">
        <v>356594</v>
      </c>
    </row>
    <row r="184" customFormat="false" ht="15" hidden="false" customHeight="true" outlineLevel="0" collapsed="false">
      <c r="A184" s="8" t="n">
        <v>182</v>
      </c>
      <c r="B184" s="28" t="n">
        <v>45476</v>
      </c>
      <c r="C184" s="8" t="s">
        <v>2</v>
      </c>
      <c r="D184" s="5" t="n">
        <v>123.7</v>
      </c>
      <c r="E184" s="5" t="n">
        <v>124.6</v>
      </c>
      <c r="F184" s="5" t="n">
        <v>120</v>
      </c>
      <c r="G184" s="5" t="n">
        <v>120</v>
      </c>
      <c r="H184" s="5" t="n">
        <v>123.7</v>
      </c>
      <c r="I184" s="5" t="n">
        <v>121</v>
      </c>
      <c r="K184" s="29" t="n">
        <v>40.064</v>
      </c>
      <c r="L184" s="30" t="n">
        <v>323881</v>
      </c>
    </row>
    <row r="185" customFormat="false" ht="15" hidden="false" customHeight="true" outlineLevel="0" collapsed="false">
      <c r="A185" s="8" t="n">
        <v>183</v>
      </c>
      <c r="B185" s="28" t="n">
        <v>45475</v>
      </c>
      <c r="C185" s="8" t="s">
        <v>2</v>
      </c>
      <c r="D185" s="5" t="n">
        <v>121</v>
      </c>
      <c r="E185" s="5" t="n">
        <v>122.5</v>
      </c>
      <c r="F185" s="5" t="n">
        <v>114.9</v>
      </c>
      <c r="G185" s="5" t="n">
        <v>118</v>
      </c>
      <c r="H185" s="5" t="n">
        <v>121</v>
      </c>
      <c r="I185" s="5" t="n">
        <v>118.1</v>
      </c>
      <c r="K185" s="29" t="n">
        <v>57.157</v>
      </c>
      <c r="L185" s="30" t="n">
        <v>472368</v>
      </c>
    </row>
    <row r="186" customFormat="false" ht="15" hidden="false" customHeight="true" outlineLevel="0" collapsed="false">
      <c r="A186" s="8" t="n">
        <v>184</v>
      </c>
      <c r="B186" s="28" t="n">
        <v>45473</v>
      </c>
      <c r="C186" s="8" t="s">
        <v>2</v>
      </c>
      <c r="D186" s="5" t="n">
        <v>118.1</v>
      </c>
      <c r="E186" s="5" t="n">
        <v>121.6</v>
      </c>
      <c r="F186" s="5" t="n">
        <v>112.7</v>
      </c>
      <c r="G186" s="5" t="n">
        <v>114</v>
      </c>
      <c r="H186" s="5" t="n">
        <v>118.1</v>
      </c>
      <c r="I186" s="5" t="n">
        <v>116.1</v>
      </c>
      <c r="K186" s="29" t="n">
        <v>89.403</v>
      </c>
      <c r="L186" s="30" t="n">
        <v>757012</v>
      </c>
    </row>
    <row r="187" customFormat="false" ht="15" hidden="false" customHeight="true" outlineLevel="0" collapsed="false">
      <c r="A187" s="8" t="n">
        <v>185</v>
      </c>
      <c r="B187" s="28" t="n">
        <v>45470</v>
      </c>
      <c r="C187" s="8" t="s">
        <v>2</v>
      </c>
      <c r="D187" s="5" t="n">
        <v>116.1</v>
      </c>
      <c r="E187" s="5" t="n">
        <v>117.1</v>
      </c>
      <c r="F187" s="5" t="n">
        <v>111.1</v>
      </c>
      <c r="G187" s="5" t="n">
        <v>112</v>
      </c>
      <c r="H187" s="5" t="n">
        <v>116.1</v>
      </c>
      <c r="I187" s="5" t="n">
        <v>111.1</v>
      </c>
      <c r="K187" s="29" t="n">
        <v>57.288</v>
      </c>
      <c r="L187" s="30" t="n">
        <v>493435</v>
      </c>
    </row>
    <row r="188" customFormat="false" ht="15" hidden="false" customHeight="true" outlineLevel="0" collapsed="false">
      <c r="A188" s="8" t="n">
        <v>186</v>
      </c>
      <c r="B188" s="28" t="n">
        <v>45469</v>
      </c>
      <c r="C188" s="8" t="s">
        <v>2</v>
      </c>
      <c r="D188" s="5" t="n">
        <v>111.1</v>
      </c>
      <c r="E188" s="5" t="n">
        <v>112</v>
      </c>
      <c r="F188" s="5" t="n">
        <v>105.1</v>
      </c>
      <c r="G188" s="5" t="n">
        <v>106.6</v>
      </c>
      <c r="H188" s="5" t="n">
        <v>111.1</v>
      </c>
      <c r="I188" s="5" t="n">
        <v>105.5</v>
      </c>
      <c r="K188" s="29" t="n">
        <v>54.518</v>
      </c>
      <c r="L188" s="30" t="n">
        <v>490709</v>
      </c>
    </row>
    <row r="189" customFormat="false" ht="15" hidden="false" customHeight="true" outlineLevel="0" collapsed="false">
      <c r="A189" s="8" t="n">
        <v>187</v>
      </c>
      <c r="B189" s="28" t="n">
        <v>45468</v>
      </c>
      <c r="C189" s="8" t="s">
        <v>2</v>
      </c>
      <c r="D189" s="5" t="n">
        <v>105.5</v>
      </c>
      <c r="E189" s="5" t="n">
        <v>106.2</v>
      </c>
      <c r="F189" s="5" t="n">
        <v>103</v>
      </c>
      <c r="G189" s="5" t="n">
        <v>103</v>
      </c>
      <c r="H189" s="5" t="n">
        <v>105.5</v>
      </c>
      <c r="I189" s="5" t="n">
        <v>103.5</v>
      </c>
      <c r="K189" s="29" t="n">
        <v>10.966</v>
      </c>
      <c r="L189" s="30" t="n">
        <v>103939</v>
      </c>
    </row>
    <row r="190" customFormat="false" ht="15" hidden="false" customHeight="true" outlineLevel="0" collapsed="false">
      <c r="A190" s="8" t="n">
        <v>188</v>
      </c>
      <c r="B190" s="28" t="n">
        <v>45467</v>
      </c>
      <c r="C190" s="8" t="s">
        <v>2</v>
      </c>
      <c r="D190" s="5" t="n">
        <v>103.5</v>
      </c>
      <c r="E190" s="5" t="n">
        <v>104.4</v>
      </c>
      <c r="F190" s="5" t="n">
        <v>102.1</v>
      </c>
      <c r="G190" s="5" t="n">
        <v>103.8</v>
      </c>
      <c r="H190" s="5" t="n">
        <v>103.5</v>
      </c>
      <c r="I190" s="5" t="n">
        <v>103.3</v>
      </c>
      <c r="K190" s="29" t="n">
        <v>7.298</v>
      </c>
      <c r="L190" s="30" t="n">
        <v>70508</v>
      </c>
    </row>
    <row r="191" customFormat="false" ht="15" hidden="false" customHeight="true" outlineLevel="0" collapsed="false">
      <c r="A191" s="8" t="n">
        <v>189</v>
      </c>
      <c r="B191" s="28" t="n">
        <v>45466</v>
      </c>
      <c r="C191" s="8" t="s">
        <v>2</v>
      </c>
      <c r="D191" s="5" t="n">
        <v>103.3</v>
      </c>
      <c r="E191" s="5" t="n">
        <v>107.4</v>
      </c>
      <c r="F191" s="5" t="n">
        <v>102.7</v>
      </c>
      <c r="G191" s="5" t="n">
        <v>107</v>
      </c>
      <c r="H191" s="5" t="n">
        <v>103.3</v>
      </c>
      <c r="I191" s="5" t="n">
        <v>105.7</v>
      </c>
      <c r="K191" s="29" t="n">
        <v>7.373</v>
      </c>
      <c r="L191" s="30" t="n">
        <v>71378</v>
      </c>
    </row>
    <row r="192" customFormat="false" ht="15" hidden="false" customHeight="true" outlineLevel="0" collapsed="false">
      <c r="A192" s="8" t="n">
        <v>190</v>
      </c>
      <c r="B192" s="28" t="n">
        <v>45463</v>
      </c>
      <c r="C192" s="8" t="s">
        <v>2</v>
      </c>
      <c r="D192" s="5" t="n">
        <v>105.7</v>
      </c>
      <c r="E192" s="5" t="n">
        <v>107.5</v>
      </c>
      <c r="F192" s="5" t="n">
        <v>104.2</v>
      </c>
      <c r="G192" s="5" t="n">
        <v>107.5</v>
      </c>
      <c r="H192" s="5" t="n">
        <v>105.7</v>
      </c>
      <c r="I192" s="5" t="n">
        <v>104.2</v>
      </c>
      <c r="K192" s="29" t="n">
        <v>4.477</v>
      </c>
      <c r="L192" s="30" t="n">
        <v>42351</v>
      </c>
    </row>
    <row r="193" customFormat="false" ht="15" hidden="false" customHeight="true" outlineLevel="0" collapsed="false">
      <c r="A193" s="8" t="n">
        <v>191</v>
      </c>
      <c r="B193" s="28" t="n">
        <v>45462</v>
      </c>
      <c r="C193" s="8" t="s">
        <v>2</v>
      </c>
      <c r="D193" s="5" t="n">
        <v>104.2</v>
      </c>
      <c r="E193" s="5" t="n">
        <v>106</v>
      </c>
      <c r="F193" s="5" t="n">
        <v>103</v>
      </c>
      <c r="G193" s="5" t="n">
        <v>106</v>
      </c>
      <c r="H193" s="5" t="n">
        <v>104.2</v>
      </c>
      <c r="I193" s="5" t="n">
        <v>105.1</v>
      </c>
      <c r="K193" s="29" t="n">
        <v>4.39</v>
      </c>
      <c r="L193" s="30" t="n">
        <v>42130</v>
      </c>
    </row>
    <row r="194" customFormat="false" ht="15" hidden="false" customHeight="true" outlineLevel="0" collapsed="false">
      <c r="A194" s="8" t="n">
        <v>192</v>
      </c>
      <c r="B194" s="28" t="n">
        <v>45456</v>
      </c>
      <c r="C194" s="8" t="s">
        <v>2</v>
      </c>
      <c r="D194" s="5" t="n">
        <v>105.1</v>
      </c>
      <c r="E194" s="5" t="n">
        <v>106.7</v>
      </c>
      <c r="F194" s="5" t="n">
        <v>100.2</v>
      </c>
      <c r="G194" s="5" t="n">
        <v>105.6</v>
      </c>
      <c r="H194" s="5" t="n">
        <v>105.1</v>
      </c>
      <c r="I194" s="5" t="n">
        <v>102</v>
      </c>
      <c r="K194" s="29" t="n">
        <v>7.113</v>
      </c>
      <c r="L194" s="30" t="n">
        <v>67677</v>
      </c>
    </row>
    <row r="195" customFormat="false" ht="15" hidden="false" customHeight="true" outlineLevel="0" collapsed="false">
      <c r="A195" s="8" t="n">
        <v>193</v>
      </c>
      <c r="B195" s="28" t="n">
        <v>45455</v>
      </c>
      <c r="C195" s="8" t="s">
        <v>2</v>
      </c>
      <c r="D195" s="5" t="n">
        <v>102</v>
      </c>
      <c r="E195" s="5" t="n">
        <v>102.8</v>
      </c>
      <c r="F195" s="5" t="n">
        <v>99.4</v>
      </c>
      <c r="G195" s="5" t="n">
        <v>99.5</v>
      </c>
      <c r="H195" s="5" t="n">
        <v>102</v>
      </c>
      <c r="I195" s="5" t="n">
        <v>100.4</v>
      </c>
      <c r="K195" s="29" t="n">
        <v>13.396</v>
      </c>
      <c r="L195" s="30" t="n">
        <v>131329</v>
      </c>
    </row>
    <row r="196" customFormat="false" ht="15" hidden="false" customHeight="true" outlineLevel="0" collapsed="false">
      <c r="A196" s="8" t="n">
        <v>194</v>
      </c>
      <c r="B196" s="28" t="n">
        <v>45454</v>
      </c>
      <c r="C196" s="8" t="s">
        <v>2</v>
      </c>
      <c r="D196" s="5" t="n">
        <v>100.4</v>
      </c>
      <c r="E196" s="5" t="n">
        <v>105.8</v>
      </c>
      <c r="F196" s="5" t="n">
        <v>99.8</v>
      </c>
      <c r="G196" s="5" t="n">
        <v>102</v>
      </c>
      <c r="H196" s="5" t="n">
        <v>100.4</v>
      </c>
      <c r="I196" s="5" t="n">
        <v>102.8</v>
      </c>
      <c r="K196" s="29" t="n">
        <v>20.622</v>
      </c>
      <c r="L196" s="30" t="n">
        <v>205400</v>
      </c>
    </row>
    <row r="197" customFormat="false" ht="15" hidden="false" customHeight="true" outlineLevel="0" collapsed="false">
      <c r="A197" s="8" t="n">
        <v>195</v>
      </c>
      <c r="B197" s="28" t="n">
        <v>45453</v>
      </c>
      <c r="C197" s="8" t="s">
        <v>2</v>
      </c>
      <c r="D197" s="5" t="n">
        <v>102.8</v>
      </c>
      <c r="E197" s="5" t="n">
        <v>105</v>
      </c>
      <c r="F197" s="5" t="n">
        <v>101.5</v>
      </c>
      <c r="G197" s="5" t="n">
        <v>105</v>
      </c>
      <c r="H197" s="5" t="n">
        <v>102.8</v>
      </c>
      <c r="I197" s="5" t="n">
        <v>104</v>
      </c>
      <c r="K197" s="29" t="n">
        <v>9.997</v>
      </c>
      <c r="L197" s="30" t="n">
        <v>97247</v>
      </c>
    </row>
    <row r="198" customFormat="false" ht="15" hidden="false" customHeight="true" outlineLevel="0" collapsed="false">
      <c r="A198" s="8" t="n">
        <v>196</v>
      </c>
      <c r="B198" s="28" t="n">
        <v>45452</v>
      </c>
      <c r="C198" s="8" t="s">
        <v>2</v>
      </c>
      <c r="D198" s="5" t="n">
        <v>104</v>
      </c>
      <c r="E198" s="5" t="n">
        <v>107.5</v>
      </c>
      <c r="F198" s="5" t="n">
        <v>103.7</v>
      </c>
      <c r="G198" s="5" t="n">
        <v>105.2</v>
      </c>
      <c r="H198" s="5" t="n">
        <v>104</v>
      </c>
      <c r="I198" s="5" t="n">
        <v>106.8</v>
      </c>
      <c r="K198" s="29" t="n">
        <v>8.833</v>
      </c>
      <c r="L198" s="30" t="n">
        <v>84937</v>
      </c>
    </row>
    <row r="199" customFormat="false" ht="15" hidden="false" customHeight="true" outlineLevel="0" collapsed="false">
      <c r="A199" s="8" t="n">
        <v>197</v>
      </c>
      <c r="B199" s="28" t="n">
        <v>45449</v>
      </c>
      <c r="C199" s="8" t="s">
        <v>2</v>
      </c>
      <c r="D199" s="5" t="n">
        <v>106.8</v>
      </c>
      <c r="E199" s="5" t="n">
        <v>108</v>
      </c>
      <c r="F199" s="5" t="n">
        <v>105</v>
      </c>
      <c r="G199" s="5" t="n">
        <v>107.5</v>
      </c>
      <c r="H199" s="5" t="n">
        <v>106.8</v>
      </c>
      <c r="I199" s="5" t="n">
        <v>108</v>
      </c>
      <c r="K199" s="29" t="n">
        <v>13.185</v>
      </c>
      <c r="L199" s="30" t="n">
        <v>123453</v>
      </c>
    </row>
    <row r="200" customFormat="false" ht="15" hidden="false" customHeight="true" outlineLevel="0" collapsed="false">
      <c r="A200" s="8" t="n">
        <v>198</v>
      </c>
      <c r="B200" s="28" t="n">
        <v>45448</v>
      </c>
      <c r="C200" s="8" t="s">
        <v>2</v>
      </c>
      <c r="D200" s="5" t="n">
        <v>108</v>
      </c>
      <c r="E200" s="5" t="n">
        <v>111.8</v>
      </c>
      <c r="F200" s="5" t="n">
        <v>107.6</v>
      </c>
      <c r="G200" s="5" t="n">
        <v>107.6</v>
      </c>
      <c r="H200" s="5" t="n">
        <v>108</v>
      </c>
      <c r="I200" s="5" t="n">
        <v>109.9</v>
      </c>
      <c r="K200" s="29" t="n">
        <v>7.287</v>
      </c>
      <c r="L200" s="30" t="n">
        <v>67468</v>
      </c>
    </row>
    <row r="201" customFormat="false" ht="15" hidden="false" customHeight="true" outlineLevel="0" collapsed="false">
      <c r="A201" s="8" t="n">
        <v>199</v>
      </c>
      <c r="B201" s="28" t="n">
        <v>45447</v>
      </c>
      <c r="C201" s="8" t="s">
        <v>2</v>
      </c>
      <c r="D201" s="5" t="n">
        <v>109.9</v>
      </c>
      <c r="E201" s="5" t="n">
        <v>111</v>
      </c>
      <c r="F201" s="5" t="n">
        <v>107.1</v>
      </c>
      <c r="G201" s="5" t="n">
        <v>108</v>
      </c>
      <c r="H201" s="5" t="n">
        <v>109.9</v>
      </c>
      <c r="I201" s="5" t="n">
        <v>108</v>
      </c>
      <c r="K201" s="29" t="n">
        <v>18.477</v>
      </c>
      <c r="L201" s="30" t="n">
        <v>168123</v>
      </c>
    </row>
    <row r="202" customFormat="false" ht="15" hidden="false" customHeight="true" outlineLevel="0" collapsed="false">
      <c r="A202" s="8" t="n">
        <v>200</v>
      </c>
      <c r="B202" s="28" t="n">
        <v>45446</v>
      </c>
      <c r="C202" s="8" t="s">
        <v>2</v>
      </c>
      <c r="D202" s="5" t="n">
        <v>108</v>
      </c>
      <c r="E202" s="5" t="n">
        <v>110.4</v>
      </c>
      <c r="F202" s="5" t="n">
        <v>107.2</v>
      </c>
      <c r="G202" s="5" t="n">
        <v>110.4</v>
      </c>
      <c r="H202" s="5" t="n">
        <v>108</v>
      </c>
      <c r="I202" s="5" t="n">
        <v>108.5</v>
      </c>
      <c r="K202" s="29" t="n">
        <v>6.785</v>
      </c>
      <c r="L202" s="30" t="n">
        <v>62824</v>
      </c>
    </row>
    <row r="203" customFormat="false" ht="15" hidden="false" customHeight="true" outlineLevel="0" collapsed="false">
      <c r="A203" s="8" t="n">
        <v>201</v>
      </c>
      <c r="B203" s="28" t="n">
        <v>45445</v>
      </c>
      <c r="C203" s="8" t="s">
        <v>2</v>
      </c>
      <c r="D203" s="5" t="n">
        <v>108.5</v>
      </c>
      <c r="E203" s="5" t="n">
        <v>111.9</v>
      </c>
      <c r="F203" s="5" t="n">
        <v>108.5</v>
      </c>
      <c r="G203" s="5" t="n">
        <v>109.1</v>
      </c>
      <c r="H203" s="5" t="n">
        <v>108.5</v>
      </c>
      <c r="I203" s="5" t="n">
        <v>109.1</v>
      </c>
      <c r="K203" s="29" t="n">
        <v>4.794</v>
      </c>
      <c r="L203" s="30" t="n">
        <v>44180</v>
      </c>
    </row>
    <row r="204" customFormat="false" ht="15" hidden="false" customHeight="true" outlineLevel="0" collapsed="false">
      <c r="A204" s="8" t="n">
        <v>202</v>
      </c>
      <c r="B204" s="28" t="n">
        <v>45442</v>
      </c>
      <c r="C204" s="8" t="s">
        <v>2</v>
      </c>
      <c r="D204" s="5" t="n">
        <v>109.1</v>
      </c>
      <c r="E204" s="5" t="n">
        <v>112.9</v>
      </c>
      <c r="F204" s="5" t="n">
        <v>107.1</v>
      </c>
      <c r="G204" s="5" t="n">
        <v>109.3</v>
      </c>
      <c r="H204" s="5" t="n">
        <v>109.1</v>
      </c>
      <c r="I204" s="5" t="n">
        <v>109.4</v>
      </c>
      <c r="K204" s="29" t="n">
        <v>12</v>
      </c>
      <c r="L204" s="30" t="n">
        <v>109993</v>
      </c>
    </row>
    <row r="205" customFormat="false" ht="15" hidden="false" customHeight="true" outlineLevel="0" collapsed="false">
      <c r="A205" s="8" t="n">
        <v>203</v>
      </c>
      <c r="B205" s="28" t="n">
        <v>45441</v>
      </c>
      <c r="C205" s="8" t="s">
        <v>2</v>
      </c>
      <c r="D205" s="5" t="n">
        <v>109.4</v>
      </c>
      <c r="E205" s="5" t="n">
        <v>113.4</v>
      </c>
      <c r="F205" s="5" t="n">
        <v>109.4</v>
      </c>
      <c r="G205" s="5" t="n">
        <v>113.4</v>
      </c>
      <c r="H205" s="5" t="n">
        <v>109.4</v>
      </c>
      <c r="I205" s="5" t="n">
        <v>112.7</v>
      </c>
      <c r="K205" s="29" t="n">
        <v>6.827</v>
      </c>
      <c r="L205" s="30" t="n">
        <v>62404</v>
      </c>
    </row>
    <row r="206" customFormat="false" ht="15" hidden="false" customHeight="true" outlineLevel="0" collapsed="false">
      <c r="A206" s="8" t="n">
        <v>204</v>
      </c>
      <c r="B206" s="28" t="n">
        <v>45440</v>
      </c>
      <c r="C206" s="8" t="s">
        <v>2</v>
      </c>
      <c r="D206" s="5" t="n">
        <v>112.7</v>
      </c>
      <c r="E206" s="5" t="n">
        <v>114.7</v>
      </c>
      <c r="F206" s="5" t="n">
        <v>109.5</v>
      </c>
      <c r="G206" s="5" t="n">
        <v>114</v>
      </c>
      <c r="H206" s="5" t="n">
        <v>112.7</v>
      </c>
      <c r="I206" s="5" t="n">
        <v>111.3</v>
      </c>
      <c r="K206" s="29" t="n">
        <v>16.377</v>
      </c>
      <c r="L206" s="30" t="n">
        <v>145316</v>
      </c>
    </row>
    <row r="207" customFormat="false" ht="15" hidden="false" customHeight="true" outlineLevel="0" collapsed="false">
      <c r="A207" s="8" t="n">
        <v>205</v>
      </c>
      <c r="B207" s="28" t="n">
        <v>45439</v>
      </c>
      <c r="C207" s="8" t="s">
        <v>2</v>
      </c>
      <c r="D207" s="5" t="n">
        <v>111.3</v>
      </c>
      <c r="E207" s="5" t="n">
        <v>112.9</v>
      </c>
      <c r="F207" s="5" t="n">
        <v>107</v>
      </c>
      <c r="G207" s="5" t="n">
        <v>110.6</v>
      </c>
      <c r="H207" s="5" t="n">
        <v>111.3</v>
      </c>
      <c r="I207" s="5" t="n">
        <v>106.9</v>
      </c>
      <c r="K207" s="29" t="n">
        <v>18.479</v>
      </c>
      <c r="L207" s="30" t="n">
        <v>166025</v>
      </c>
    </row>
    <row r="208" customFormat="false" ht="15" hidden="false" customHeight="true" outlineLevel="0" collapsed="false">
      <c r="A208" s="8" t="n">
        <v>206</v>
      </c>
      <c r="B208" s="28" t="n">
        <v>45438</v>
      </c>
      <c r="C208" s="8" t="s">
        <v>2</v>
      </c>
      <c r="D208" s="5" t="n">
        <v>106.9</v>
      </c>
      <c r="E208" s="5" t="n">
        <v>115.4</v>
      </c>
      <c r="F208" s="5" t="n">
        <v>106.1</v>
      </c>
      <c r="G208" s="5" t="n">
        <v>115.4</v>
      </c>
      <c r="H208" s="5" t="n">
        <v>106.9</v>
      </c>
      <c r="I208" s="5" t="n">
        <v>109.3</v>
      </c>
      <c r="K208" s="29" t="n">
        <v>11.417</v>
      </c>
      <c r="L208" s="30" t="n">
        <v>106802</v>
      </c>
    </row>
    <row r="209" customFormat="false" ht="15" hidden="false" customHeight="true" outlineLevel="0" collapsed="false">
      <c r="A209" s="8" t="n">
        <v>207</v>
      </c>
      <c r="B209" s="28" t="n">
        <v>45435</v>
      </c>
      <c r="C209" s="8" t="s">
        <v>2</v>
      </c>
      <c r="D209" s="5" t="n">
        <v>109.3</v>
      </c>
      <c r="E209" s="5" t="n">
        <v>116</v>
      </c>
      <c r="F209" s="5" t="n">
        <v>109</v>
      </c>
      <c r="G209" s="5" t="n">
        <v>110.2</v>
      </c>
      <c r="H209" s="5" t="n">
        <v>109.3</v>
      </c>
      <c r="I209" s="5" t="n">
        <v>111.7</v>
      </c>
      <c r="K209" s="29" t="n">
        <v>10.45</v>
      </c>
      <c r="L209" s="30" t="n">
        <v>95609</v>
      </c>
    </row>
    <row r="210" customFormat="false" ht="15" hidden="false" customHeight="true" outlineLevel="0" collapsed="false">
      <c r="A210" s="8" t="n">
        <v>208</v>
      </c>
      <c r="B210" s="28" t="n">
        <v>45433</v>
      </c>
      <c r="C210" s="8" t="s">
        <v>2</v>
      </c>
      <c r="D210" s="5" t="n">
        <v>111.7</v>
      </c>
      <c r="E210" s="5" t="n">
        <v>116.3</v>
      </c>
      <c r="F210" s="5" t="n">
        <v>110.9</v>
      </c>
      <c r="G210" s="5" t="n">
        <v>112.8</v>
      </c>
      <c r="H210" s="5" t="n">
        <v>111.7</v>
      </c>
      <c r="I210" s="5" t="n">
        <v>112.7</v>
      </c>
      <c r="K210" s="29" t="n">
        <v>10.219</v>
      </c>
      <c r="L210" s="30" t="n">
        <v>91490</v>
      </c>
    </row>
    <row r="211" customFormat="false" ht="15" hidden="false" customHeight="true" outlineLevel="0" collapsed="false">
      <c r="A211" s="8" t="n">
        <v>209</v>
      </c>
      <c r="B211" s="28" t="n">
        <v>45432</v>
      </c>
      <c r="C211" s="8" t="s">
        <v>2</v>
      </c>
      <c r="D211" s="5" t="n">
        <v>112.7</v>
      </c>
      <c r="E211" s="5" t="n">
        <v>115</v>
      </c>
      <c r="F211" s="5" t="n">
        <v>112</v>
      </c>
      <c r="G211" s="5" t="n">
        <v>112.2</v>
      </c>
      <c r="H211" s="5" t="n">
        <v>112.7</v>
      </c>
      <c r="I211" s="5" t="n">
        <v>115.4</v>
      </c>
      <c r="K211" s="29" t="n">
        <v>18.639</v>
      </c>
      <c r="L211" s="30" t="n">
        <v>165385</v>
      </c>
    </row>
    <row r="212" customFormat="false" ht="15" hidden="false" customHeight="true" outlineLevel="0" collapsed="false">
      <c r="A212" s="8" t="n">
        <v>210</v>
      </c>
      <c r="B212" s="28" t="n">
        <v>45431</v>
      </c>
      <c r="C212" s="8" t="s">
        <v>2</v>
      </c>
      <c r="D212" s="5" t="n">
        <v>115.4</v>
      </c>
      <c r="E212" s="5" t="n">
        <v>118.9</v>
      </c>
      <c r="F212" s="5" t="n">
        <v>115.4</v>
      </c>
      <c r="G212" s="5" t="n">
        <v>117.5</v>
      </c>
      <c r="H212" s="5" t="n">
        <v>115.4</v>
      </c>
      <c r="I212" s="5" t="n">
        <v>118.9</v>
      </c>
      <c r="K212" s="29" t="n">
        <v>14.385</v>
      </c>
      <c r="L212" s="30" t="n">
        <v>124652</v>
      </c>
    </row>
    <row r="213" customFormat="false" ht="15" hidden="false" customHeight="true" outlineLevel="0" collapsed="false">
      <c r="A213" s="8" t="n">
        <v>211</v>
      </c>
      <c r="B213" s="28" t="n">
        <v>45428</v>
      </c>
      <c r="C213" s="8" t="s">
        <v>2</v>
      </c>
      <c r="D213" s="5" t="n">
        <v>118.9</v>
      </c>
      <c r="E213" s="5" t="n">
        <v>121.3</v>
      </c>
      <c r="F213" s="5" t="n">
        <v>117</v>
      </c>
      <c r="G213" s="5" t="n">
        <v>118.4</v>
      </c>
      <c r="H213" s="5" t="n">
        <v>118.9</v>
      </c>
      <c r="I213" s="5" t="n">
        <v>118.1</v>
      </c>
      <c r="K213" s="29" t="n">
        <v>6.637</v>
      </c>
      <c r="L213" s="30" t="n">
        <v>55821</v>
      </c>
    </row>
    <row r="214" customFormat="false" ht="15" hidden="false" customHeight="true" outlineLevel="0" collapsed="false">
      <c r="A214" s="8" t="n">
        <v>212</v>
      </c>
      <c r="B214" s="28" t="n">
        <v>45427</v>
      </c>
      <c r="C214" s="8" t="s">
        <v>2</v>
      </c>
      <c r="D214" s="5" t="n">
        <v>118.1</v>
      </c>
      <c r="E214" s="5" t="n">
        <v>119.8</v>
      </c>
      <c r="F214" s="5" t="n">
        <v>116.7</v>
      </c>
      <c r="G214" s="5" t="n">
        <v>119.5</v>
      </c>
      <c r="H214" s="5" t="n">
        <v>118.1</v>
      </c>
      <c r="I214" s="5" t="n">
        <v>119.3</v>
      </c>
      <c r="K214" s="29" t="n">
        <v>4.818</v>
      </c>
      <c r="L214" s="30" t="n">
        <v>40792</v>
      </c>
    </row>
    <row r="215" customFormat="false" ht="15" hidden="false" customHeight="true" outlineLevel="0" collapsed="false">
      <c r="A215" s="8" t="n">
        <v>213</v>
      </c>
      <c r="B215" s="28" t="n">
        <v>45426</v>
      </c>
      <c r="C215" s="8" t="s">
        <v>2</v>
      </c>
      <c r="D215" s="5" t="n">
        <v>119.3</v>
      </c>
      <c r="E215" s="5" t="n">
        <v>124.4</v>
      </c>
      <c r="F215" s="5" t="n">
        <v>119.1</v>
      </c>
      <c r="G215" s="5" t="n">
        <v>124.4</v>
      </c>
      <c r="H215" s="5" t="n">
        <v>119.3</v>
      </c>
      <c r="I215" s="5" t="n">
        <v>122.4</v>
      </c>
      <c r="K215" s="29" t="n">
        <v>12.939</v>
      </c>
      <c r="L215" s="30" t="n">
        <v>108459</v>
      </c>
    </row>
    <row r="216" customFormat="false" ht="15" hidden="false" customHeight="true" outlineLevel="0" collapsed="false">
      <c r="A216" s="8" t="n">
        <v>214</v>
      </c>
      <c r="B216" s="28" t="n">
        <v>45425</v>
      </c>
      <c r="C216" s="8" t="s">
        <v>2</v>
      </c>
      <c r="D216" s="5" t="n">
        <v>122.4</v>
      </c>
      <c r="E216" s="5" t="n">
        <v>126.2</v>
      </c>
      <c r="F216" s="5" t="n">
        <v>122.2</v>
      </c>
      <c r="G216" s="5" t="n">
        <v>126.2</v>
      </c>
      <c r="H216" s="5" t="n">
        <v>122.4</v>
      </c>
      <c r="I216" s="5" t="n">
        <v>124.1</v>
      </c>
      <c r="K216" s="29" t="n">
        <v>8.675</v>
      </c>
      <c r="L216" s="30" t="n">
        <v>70876</v>
      </c>
    </row>
    <row r="217" customFormat="false" ht="15" hidden="false" customHeight="true" outlineLevel="0" collapsed="false">
      <c r="A217" s="8" t="n">
        <v>215</v>
      </c>
      <c r="B217" s="28" t="n">
        <v>45424</v>
      </c>
      <c r="C217" s="8" t="s">
        <v>2</v>
      </c>
      <c r="D217" s="5" t="n">
        <v>124.1</v>
      </c>
      <c r="E217" s="5" t="n">
        <v>125.3</v>
      </c>
      <c r="F217" s="5" t="n">
        <v>122.5</v>
      </c>
      <c r="G217" s="5" t="n">
        <v>125.3</v>
      </c>
      <c r="H217" s="5" t="n">
        <v>124.1</v>
      </c>
      <c r="I217" s="5" t="n">
        <v>121.9</v>
      </c>
      <c r="K217" s="29" t="n">
        <v>9.206</v>
      </c>
      <c r="L217" s="30" t="n">
        <v>74181</v>
      </c>
    </row>
    <row r="218" customFormat="false" ht="15" hidden="false" customHeight="true" outlineLevel="0" collapsed="false">
      <c r="A218" s="8" t="n">
        <v>216</v>
      </c>
      <c r="B218" s="28" t="n">
        <v>45421</v>
      </c>
      <c r="C218" s="8" t="s">
        <v>2</v>
      </c>
      <c r="D218" s="5" t="n">
        <v>121.9</v>
      </c>
      <c r="E218" s="5" t="n">
        <v>126.8</v>
      </c>
      <c r="F218" s="5" t="n">
        <v>121.3</v>
      </c>
      <c r="G218" s="5" t="n">
        <v>126.8</v>
      </c>
      <c r="H218" s="5" t="n">
        <v>121.9</v>
      </c>
      <c r="I218" s="5" t="n">
        <v>124.6</v>
      </c>
      <c r="K218" s="29" t="n">
        <v>19.464</v>
      </c>
      <c r="L218" s="30" t="n">
        <v>159671</v>
      </c>
    </row>
    <row r="219" customFormat="false" ht="15" hidden="false" customHeight="true" outlineLevel="0" collapsed="false">
      <c r="A219" s="8" t="n">
        <v>217</v>
      </c>
      <c r="B219" s="28" t="n">
        <v>45420</v>
      </c>
      <c r="C219" s="8" t="s">
        <v>2</v>
      </c>
      <c r="D219" s="5" t="n">
        <v>124.6</v>
      </c>
      <c r="E219" s="5" t="n">
        <v>126.8</v>
      </c>
      <c r="F219" s="5" t="n">
        <v>123.3</v>
      </c>
      <c r="G219" s="5" t="n">
        <v>126.8</v>
      </c>
      <c r="H219" s="5" t="n">
        <v>124.6</v>
      </c>
      <c r="I219" s="5" t="n">
        <v>124.8</v>
      </c>
      <c r="K219" s="29" t="n">
        <v>12.123</v>
      </c>
      <c r="L219" s="30" t="n">
        <v>97297</v>
      </c>
    </row>
    <row r="220" customFormat="false" ht="15" hidden="false" customHeight="true" outlineLevel="0" collapsed="false">
      <c r="A220" s="8" t="n">
        <v>218</v>
      </c>
      <c r="B220" s="28" t="n">
        <v>45419</v>
      </c>
      <c r="C220" s="8" t="s">
        <v>2</v>
      </c>
      <c r="D220" s="5" t="n">
        <v>124.8</v>
      </c>
      <c r="E220" s="5" t="n">
        <v>130</v>
      </c>
      <c r="F220" s="5" t="n">
        <v>124.1</v>
      </c>
      <c r="G220" s="5" t="n">
        <v>129</v>
      </c>
      <c r="H220" s="5" t="n">
        <v>124.8</v>
      </c>
      <c r="I220" s="5" t="n">
        <v>127.3</v>
      </c>
      <c r="K220" s="29" t="n">
        <v>51.916</v>
      </c>
      <c r="L220" s="30" t="n">
        <v>415991</v>
      </c>
    </row>
    <row r="221" customFormat="false" ht="15" hidden="false" customHeight="true" outlineLevel="0" collapsed="false">
      <c r="A221" s="8" t="n">
        <v>219</v>
      </c>
      <c r="B221" s="28" t="n">
        <v>45418</v>
      </c>
      <c r="C221" s="8" t="s">
        <v>2</v>
      </c>
      <c r="D221" s="5" t="n">
        <v>127.3</v>
      </c>
      <c r="E221" s="5" t="n">
        <v>130.4</v>
      </c>
      <c r="F221" s="5" t="n">
        <v>124.2</v>
      </c>
      <c r="G221" s="5" t="n">
        <v>126.7</v>
      </c>
      <c r="H221" s="5" t="n">
        <v>127.3</v>
      </c>
      <c r="I221" s="5" t="n">
        <v>124.4</v>
      </c>
      <c r="K221" s="29" t="n">
        <v>34.816</v>
      </c>
      <c r="L221" s="30" t="n">
        <v>273497</v>
      </c>
    </row>
    <row r="222" customFormat="false" ht="15" hidden="false" customHeight="true" outlineLevel="0" collapsed="false">
      <c r="A222" s="8" t="n">
        <v>220</v>
      </c>
      <c r="B222" s="28" t="n">
        <v>45417</v>
      </c>
      <c r="C222" s="8" t="s">
        <v>2</v>
      </c>
      <c r="D222" s="5" t="n">
        <v>124.4</v>
      </c>
      <c r="E222" s="5" t="n">
        <v>126.8</v>
      </c>
      <c r="F222" s="5" t="n">
        <v>118.4</v>
      </c>
      <c r="G222" s="5" t="n">
        <v>118.4</v>
      </c>
      <c r="H222" s="5" t="n">
        <v>124.4</v>
      </c>
      <c r="I222" s="5" t="n">
        <v>118.4</v>
      </c>
      <c r="K222" s="29" t="n">
        <v>41.026</v>
      </c>
      <c r="L222" s="30" t="n">
        <v>329791</v>
      </c>
    </row>
    <row r="223" customFormat="false" ht="15" hidden="false" customHeight="true" outlineLevel="0" collapsed="false">
      <c r="A223" s="8" t="n">
        <v>221</v>
      </c>
      <c r="B223" s="28" t="n">
        <v>45414</v>
      </c>
      <c r="C223" s="8" t="s">
        <v>2</v>
      </c>
      <c r="D223" s="5" t="n">
        <v>118.4</v>
      </c>
      <c r="E223" s="5" t="n">
        <v>119.2</v>
      </c>
      <c r="F223" s="5" t="n">
        <v>117</v>
      </c>
      <c r="G223" s="5" t="n">
        <v>118.5</v>
      </c>
      <c r="H223" s="5" t="n">
        <v>118.4</v>
      </c>
      <c r="I223" s="5" t="n">
        <v>119</v>
      </c>
      <c r="K223" s="29" t="n">
        <v>12.521</v>
      </c>
      <c r="L223" s="30" t="n">
        <v>105753</v>
      </c>
    </row>
    <row r="224" customFormat="false" ht="15" hidden="false" customHeight="true" outlineLevel="0" collapsed="false">
      <c r="A224" s="8" t="n">
        <v>222</v>
      </c>
      <c r="B224" s="28" t="n">
        <v>45412</v>
      </c>
      <c r="C224" s="8" t="s">
        <v>2</v>
      </c>
      <c r="D224" s="5" t="n">
        <v>119</v>
      </c>
      <c r="E224" s="5" t="n">
        <v>119.9</v>
      </c>
      <c r="F224" s="5" t="n">
        <v>116.4</v>
      </c>
      <c r="G224" s="5" t="n">
        <v>119.2</v>
      </c>
      <c r="H224" s="5" t="n">
        <v>119</v>
      </c>
      <c r="I224" s="5" t="n">
        <v>116.6</v>
      </c>
      <c r="K224" s="29" t="n">
        <v>14.721</v>
      </c>
      <c r="L224" s="30" t="n">
        <v>123704</v>
      </c>
    </row>
    <row r="225" customFormat="false" ht="15" hidden="false" customHeight="true" outlineLevel="0" collapsed="false">
      <c r="A225" s="8" t="n">
        <v>223</v>
      </c>
      <c r="B225" s="28" t="n">
        <v>45411</v>
      </c>
      <c r="C225" s="8" t="s">
        <v>2</v>
      </c>
      <c r="D225" s="5" t="n">
        <v>116.6</v>
      </c>
      <c r="E225" s="5" t="n">
        <v>121.2</v>
      </c>
      <c r="F225" s="5" t="n">
        <v>116.2</v>
      </c>
      <c r="G225" s="5" t="n">
        <v>121.2</v>
      </c>
      <c r="H225" s="5" t="n">
        <v>116.6</v>
      </c>
      <c r="I225" s="5" t="n">
        <v>119.7</v>
      </c>
      <c r="K225" s="29" t="n">
        <v>8.704</v>
      </c>
      <c r="L225" s="30" t="n">
        <v>74645</v>
      </c>
    </row>
    <row r="226" customFormat="false" ht="15" hidden="false" customHeight="true" outlineLevel="0" collapsed="false">
      <c r="A226" s="8" t="n">
        <v>224</v>
      </c>
      <c r="B226" s="28" t="n">
        <v>45410</v>
      </c>
      <c r="C226" s="8" t="s">
        <v>2</v>
      </c>
      <c r="D226" s="5" t="n">
        <v>119.7</v>
      </c>
      <c r="E226" s="5" t="n">
        <v>120.1</v>
      </c>
      <c r="F226" s="5" t="n">
        <v>113.2</v>
      </c>
      <c r="G226" s="5" t="n">
        <v>115</v>
      </c>
      <c r="H226" s="5" t="n">
        <v>119.7</v>
      </c>
      <c r="I226" s="5" t="n">
        <v>116.1</v>
      </c>
      <c r="K226" s="29" t="n">
        <v>13.022</v>
      </c>
      <c r="L226" s="30" t="n">
        <v>108792</v>
      </c>
    </row>
    <row r="227" customFormat="false" ht="15" hidden="false" customHeight="true" outlineLevel="0" collapsed="false">
      <c r="A227" s="8" t="n">
        <v>225</v>
      </c>
      <c r="B227" s="28" t="n">
        <v>45407</v>
      </c>
      <c r="C227" s="8" t="s">
        <v>2</v>
      </c>
      <c r="D227" s="5" t="n">
        <v>116.1</v>
      </c>
      <c r="E227" s="5" t="n">
        <v>119.2</v>
      </c>
      <c r="F227" s="5" t="n">
        <v>113.2</v>
      </c>
      <c r="G227" s="5" t="n">
        <v>115.6</v>
      </c>
      <c r="H227" s="5" t="n">
        <v>116.1</v>
      </c>
      <c r="I227" s="5" t="n">
        <v>116.6</v>
      </c>
      <c r="K227" s="29" t="n">
        <v>16.744</v>
      </c>
      <c r="L227" s="30" t="n">
        <v>144223</v>
      </c>
    </row>
    <row r="228" customFormat="false" ht="15" hidden="false" customHeight="true" outlineLevel="0" collapsed="false">
      <c r="A228" s="8" t="n">
        <v>226</v>
      </c>
      <c r="B228" s="28" t="n">
        <v>45406</v>
      </c>
      <c r="C228" s="8" t="s">
        <v>2</v>
      </c>
      <c r="D228" s="5" t="n">
        <v>116.6</v>
      </c>
      <c r="E228" s="5" t="n">
        <v>120.9</v>
      </c>
      <c r="F228" s="5" t="n">
        <v>115.5</v>
      </c>
      <c r="G228" s="5" t="n">
        <v>120.9</v>
      </c>
      <c r="H228" s="5" t="n">
        <v>116.6</v>
      </c>
      <c r="I228" s="5" t="n">
        <v>119</v>
      </c>
      <c r="K228" s="29" t="n">
        <v>10.715</v>
      </c>
      <c r="L228" s="30" t="n">
        <v>91895</v>
      </c>
    </row>
    <row r="229" customFormat="false" ht="15" hidden="false" customHeight="true" outlineLevel="0" collapsed="false">
      <c r="A229" s="8" t="n">
        <v>227</v>
      </c>
      <c r="B229" s="28" t="n">
        <v>45405</v>
      </c>
      <c r="C229" s="8" t="s">
        <v>2</v>
      </c>
      <c r="D229" s="5" t="n">
        <v>119</v>
      </c>
      <c r="E229" s="5" t="n">
        <v>120.3</v>
      </c>
      <c r="F229" s="5" t="n">
        <v>118.1</v>
      </c>
      <c r="G229" s="5" t="n">
        <v>120</v>
      </c>
      <c r="H229" s="5" t="n">
        <v>119</v>
      </c>
      <c r="I229" s="5" t="n">
        <v>119.2</v>
      </c>
      <c r="K229" s="29" t="n">
        <v>14.802</v>
      </c>
      <c r="L229" s="30" t="n">
        <v>124390</v>
      </c>
    </row>
    <row r="230" customFormat="false" ht="15" hidden="false" customHeight="true" outlineLevel="0" collapsed="false">
      <c r="A230" s="8" t="n">
        <v>228</v>
      </c>
      <c r="B230" s="28" t="n">
        <v>45404</v>
      </c>
      <c r="C230" s="8" t="s">
        <v>2</v>
      </c>
      <c r="D230" s="5" t="n">
        <v>119.2</v>
      </c>
      <c r="E230" s="5" t="n">
        <v>121</v>
      </c>
      <c r="F230" s="5" t="n">
        <v>116.4</v>
      </c>
      <c r="G230" s="5" t="n">
        <v>118.2</v>
      </c>
      <c r="H230" s="5" t="n">
        <v>119.2</v>
      </c>
      <c r="I230" s="5" t="n">
        <v>118.9</v>
      </c>
      <c r="K230" s="29" t="n">
        <v>22.75</v>
      </c>
      <c r="L230" s="30" t="n">
        <v>190856</v>
      </c>
    </row>
    <row r="231" customFormat="false" ht="15" hidden="false" customHeight="true" outlineLevel="0" collapsed="false">
      <c r="A231" s="8" t="n">
        <v>229</v>
      </c>
      <c r="B231" s="28" t="n">
        <v>45403</v>
      </c>
      <c r="C231" s="8" t="s">
        <v>2</v>
      </c>
      <c r="D231" s="5" t="n">
        <v>118.9</v>
      </c>
      <c r="E231" s="5" t="n">
        <v>119.6</v>
      </c>
      <c r="F231" s="5" t="n">
        <v>116</v>
      </c>
      <c r="G231" s="5" t="n">
        <v>116</v>
      </c>
      <c r="H231" s="5" t="n">
        <v>118.9</v>
      </c>
      <c r="I231" s="5" t="n">
        <v>117.7</v>
      </c>
      <c r="K231" s="29" t="n">
        <v>17.949</v>
      </c>
      <c r="L231" s="30" t="n">
        <v>150959</v>
      </c>
    </row>
    <row r="232" customFormat="false" ht="15" hidden="false" customHeight="true" outlineLevel="0" collapsed="false">
      <c r="A232" s="8" t="n">
        <v>230</v>
      </c>
      <c r="B232" s="28" t="n">
        <v>45400</v>
      </c>
      <c r="C232" s="8" t="s">
        <v>2</v>
      </c>
      <c r="D232" s="5" t="n">
        <v>117.7</v>
      </c>
      <c r="E232" s="5" t="n">
        <v>119.4</v>
      </c>
      <c r="F232" s="5" t="n">
        <v>116</v>
      </c>
      <c r="G232" s="5" t="n">
        <v>119.4</v>
      </c>
      <c r="H232" s="5" t="n">
        <v>117.7</v>
      </c>
      <c r="I232" s="5" t="n">
        <v>119.5</v>
      </c>
      <c r="K232" s="29" t="n">
        <v>14.638</v>
      </c>
      <c r="L232" s="30" t="n">
        <v>124368</v>
      </c>
    </row>
    <row r="233" customFormat="false" ht="15" hidden="false" customHeight="true" outlineLevel="0" collapsed="false">
      <c r="A233" s="8" t="n">
        <v>231</v>
      </c>
      <c r="B233" s="28" t="n">
        <v>45399</v>
      </c>
      <c r="C233" s="8" t="s">
        <v>2</v>
      </c>
      <c r="D233" s="5" t="n">
        <v>119.5</v>
      </c>
      <c r="E233" s="5" t="n">
        <v>120.4</v>
      </c>
      <c r="F233" s="5" t="n">
        <v>119</v>
      </c>
      <c r="G233" s="5" t="n">
        <v>120.4</v>
      </c>
      <c r="H233" s="5" t="n">
        <v>119.5</v>
      </c>
      <c r="I233" s="5" t="n">
        <v>119.3</v>
      </c>
      <c r="K233" s="29" t="n">
        <v>12.169</v>
      </c>
      <c r="L233" s="30" t="n">
        <v>101834</v>
      </c>
    </row>
    <row r="234" customFormat="false" ht="15" hidden="false" customHeight="true" outlineLevel="0" collapsed="false">
      <c r="A234" s="8" t="n">
        <v>232</v>
      </c>
      <c r="B234" s="28" t="n">
        <v>45398</v>
      </c>
      <c r="C234" s="8" t="s">
        <v>2</v>
      </c>
      <c r="D234" s="5" t="n">
        <v>119.3</v>
      </c>
      <c r="E234" s="5" t="n">
        <v>120.1</v>
      </c>
      <c r="F234" s="5" t="n">
        <v>117.5</v>
      </c>
      <c r="G234" s="5" t="n">
        <v>118.9</v>
      </c>
      <c r="H234" s="5" t="n">
        <v>119.3</v>
      </c>
      <c r="I234" s="5" t="n">
        <v>118.3</v>
      </c>
      <c r="K234" s="29" t="n">
        <v>13.528</v>
      </c>
      <c r="L234" s="30" t="n">
        <v>113394</v>
      </c>
    </row>
    <row r="235" customFormat="false" ht="15" hidden="false" customHeight="true" outlineLevel="0" collapsed="false">
      <c r="A235" s="8" t="n">
        <v>233</v>
      </c>
      <c r="B235" s="28" t="n">
        <v>45397</v>
      </c>
      <c r="C235" s="8" t="s">
        <v>2</v>
      </c>
      <c r="D235" s="5" t="n">
        <v>118.3</v>
      </c>
      <c r="E235" s="5" t="n">
        <v>119.6</v>
      </c>
      <c r="F235" s="5" t="n">
        <v>117</v>
      </c>
      <c r="G235" s="5" t="n">
        <v>119.5</v>
      </c>
      <c r="H235" s="5" t="n">
        <v>118.3</v>
      </c>
      <c r="I235" s="5" t="n">
        <v>119.6</v>
      </c>
      <c r="K235" s="29" t="n">
        <v>19.264</v>
      </c>
      <c r="L235" s="30" t="n">
        <v>162837</v>
      </c>
    </row>
    <row r="236" customFormat="false" ht="15" hidden="false" customHeight="true" outlineLevel="0" collapsed="false">
      <c r="A236" s="8" t="n">
        <v>234</v>
      </c>
      <c r="B236" s="28" t="n">
        <v>45391</v>
      </c>
      <c r="C236" s="8" t="s">
        <v>2</v>
      </c>
      <c r="D236" s="5" t="n">
        <v>119.6</v>
      </c>
      <c r="E236" s="5" t="n">
        <v>120.8</v>
      </c>
      <c r="F236" s="5" t="n">
        <v>118</v>
      </c>
      <c r="G236" s="5" t="n">
        <v>120.2</v>
      </c>
      <c r="H236" s="5" t="n">
        <v>119.6</v>
      </c>
      <c r="I236" s="5" t="n">
        <v>120</v>
      </c>
      <c r="K236" s="29" t="n">
        <v>14.821</v>
      </c>
      <c r="L236" s="30" t="n">
        <v>123921</v>
      </c>
    </row>
    <row r="237" customFormat="false" ht="15" hidden="false" customHeight="true" outlineLevel="0" collapsed="false">
      <c r="A237" s="8" t="n">
        <v>235</v>
      </c>
      <c r="B237" s="28" t="n">
        <v>45390</v>
      </c>
      <c r="C237" s="8" t="s">
        <v>2</v>
      </c>
      <c r="D237" s="5" t="n">
        <v>120</v>
      </c>
      <c r="E237" s="5" t="n">
        <v>120</v>
      </c>
      <c r="F237" s="5" t="n">
        <v>114.2</v>
      </c>
      <c r="G237" s="5" t="n">
        <v>119</v>
      </c>
      <c r="H237" s="5" t="n">
        <v>120</v>
      </c>
      <c r="I237" s="5" t="n">
        <v>120</v>
      </c>
      <c r="K237" s="29" t="n">
        <v>33.653</v>
      </c>
      <c r="L237" s="30" t="n">
        <v>280439</v>
      </c>
    </row>
  </sheetData>
  <mergeCells count="1">
    <mergeCell ref="N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12" min="3" style="1" width="11"/>
    <col collapsed="false" customWidth="true" hidden="false" outlineLevel="0" max="14" min="14" style="1" width="14"/>
  </cols>
  <sheetData>
    <row r="1" customFormat="false" ht="15" hidden="false" customHeight="true" outlineLevel="0" collapsed="false">
      <c r="A1" s="26" t="s">
        <v>62</v>
      </c>
      <c r="B1" s="26" t="s">
        <v>63</v>
      </c>
      <c r="C1" s="26" t="s">
        <v>64</v>
      </c>
      <c r="D1" s="26" t="s">
        <v>65</v>
      </c>
      <c r="E1" s="26" t="s">
        <v>66</v>
      </c>
      <c r="F1" s="26" t="s">
        <v>67</v>
      </c>
      <c r="G1" s="26" t="s">
        <v>68</v>
      </c>
      <c r="H1" s="26" t="s">
        <v>69</v>
      </c>
      <c r="I1" s="26" t="s">
        <v>70</v>
      </c>
      <c r="J1" s="26" t="s">
        <v>71</v>
      </c>
      <c r="K1" s="26" t="s">
        <v>72</v>
      </c>
      <c r="L1" s="26" t="s">
        <v>73</v>
      </c>
      <c r="N1" s="19" t="s">
        <v>74</v>
      </c>
    </row>
    <row r="2" customFormat="false" ht="30" hidden="false" customHeight="true" outlineLevel="0" collapsed="false">
      <c r="N2" s="27" t="s">
        <v>75</v>
      </c>
      <c r="O2" s="27"/>
      <c r="P2" s="27"/>
      <c r="Q2" s="27"/>
      <c r="R2" s="27"/>
      <c r="S2" s="27"/>
      <c r="T2" s="27"/>
    </row>
    <row r="3" customFormat="false" ht="15" hidden="false" customHeight="true" outlineLevel="0" collapsed="false">
      <c r="A3" s="8" t="n">
        <v>1</v>
      </c>
      <c r="B3" s="28" t="n">
        <v>45755</v>
      </c>
      <c r="C3" s="8" t="s">
        <v>3</v>
      </c>
      <c r="D3" s="5" t="n">
        <v>321.8</v>
      </c>
      <c r="E3" s="5" t="n">
        <v>322.8</v>
      </c>
      <c r="F3" s="5" t="n">
        <v>319.7</v>
      </c>
      <c r="G3" s="5" t="n">
        <v>320.4</v>
      </c>
      <c r="H3" s="5" t="n">
        <v>321.8</v>
      </c>
      <c r="I3" s="5" t="n">
        <v>320.4</v>
      </c>
      <c r="K3" s="29" t="n">
        <v>15.674</v>
      </c>
      <c r="L3" s="30" t="n">
        <v>48706</v>
      </c>
    </row>
    <row r="4" customFormat="false" ht="15" hidden="false" customHeight="true" outlineLevel="0" collapsed="false">
      <c r="A4" s="8" t="n">
        <v>2</v>
      </c>
      <c r="B4" s="28" t="n">
        <v>45754</v>
      </c>
      <c r="C4" s="8" t="s">
        <v>3</v>
      </c>
      <c r="D4" s="5" t="n">
        <v>320.4</v>
      </c>
      <c r="E4" s="5" t="n">
        <v>323.9</v>
      </c>
      <c r="F4" s="5" t="n">
        <v>319.7</v>
      </c>
      <c r="G4" s="5" t="n">
        <v>319.7</v>
      </c>
      <c r="H4" s="5" t="n">
        <v>320.4</v>
      </c>
      <c r="I4" s="5" t="n">
        <v>320.7</v>
      </c>
      <c r="K4" s="29" t="n">
        <v>18.163</v>
      </c>
      <c r="L4" s="30" t="n">
        <v>56688</v>
      </c>
    </row>
    <row r="5" customFormat="false" ht="15" hidden="false" customHeight="true" outlineLevel="0" collapsed="false">
      <c r="A5" s="8" t="n">
        <v>3</v>
      </c>
      <c r="B5" s="28" t="n">
        <v>45753</v>
      </c>
      <c r="C5" s="8" t="s">
        <v>3</v>
      </c>
      <c r="D5" s="5" t="n">
        <v>320.7</v>
      </c>
      <c r="E5" s="5" t="n">
        <v>323.5</v>
      </c>
      <c r="F5" s="5" t="n">
        <v>319.5</v>
      </c>
      <c r="G5" s="5" t="n">
        <v>323.5</v>
      </c>
      <c r="H5" s="5" t="n">
        <v>320.7</v>
      </c>
      <c r="I5" s="5" t="n">
        <v>323.4</v>
      </c>
      <c r="K5" s="29" t="n">
        <v>14.808</v>
      </c>
      <c r="L5" s="30" t="n">
        <v>46173</v>
      </c>
    </row>
    <row r="6" customFormat="false" ht="15" hidden="false" customHeight="true" outlineLevel="0" collapsed="false">
      <c r="A6" s="8" t="n">
        <v>4</v>
      </c>
      <c r="B6" s="28" t="n">
        <v>45743</v>
      </c>
      <c r="C6" s="8" t="s">
        <v>3</v>
      </c>
      <c r="D6" s="5" t="n">
        <v>323.4</v>
      </c>
      <c r="E6" s="5" t="n">
        <v>324.6</v>
      </c>
      <c r="F6" s="5" t="n">
        <v>323.1</v>
      </c>
      <c r="G6" s="5" t="n">
        <v>324.6</v>
      </c>
      <c r="H6" s="5" t="n">
        <v>323.4</v>
      </c>
      <c r="I6" s="5" t="n">
        <v>323.9</v>
      </c>
      <c r="K6" s="29" t="n">
        <v>11.113</v>
      </c>
      <c r="L6" s="30" t="n">
        <v>34363</v>
      </c>
    </row>
    <row r="7" customFormat="false" ht="15" hidden="false" customHeight="true" outlineLevel="0" collapsed="false">
      <c r="A7" s="8" t="n">
        <v>5</v>
      </c>
      <c r="B7" s="28" t="n">
        <v>45741</v>
      </c>
      <c r="C7" s="8" t="s">
        <v>3</v>
      </c>
      <c r="D7" s="5" t="n">
        <v>323.9</v>
      </c>
      <c r="E7" s="5" t="n">
        <v>324.9</v>
      </c>
      <c r="F7" s="5" t="n">
        <v>322.6</v>
      </c>
      <c r="G7" s="5" t="n">
        <v>324.9</v>
      </c>
      <c r="H7" s="5" t="n">
        <v>323.9</v>
      </c>
      <c r="I7" s="5" t="n">
        <v>324</v>
      </c>
      <c r="K7" s="29" t="n">
        <v>16.388</v>
      </c>
      <c r="L7" s="30" t="n">
        <v>50595</v>
      </c>
    </row>
    <row r="8" customFormat="false" ht="15" hidden="false" customHeight="true" outlineLevel="0" collapsed="false">
      <c r="A8" s="8" t="n">
        <v>6</v>
      </c>
      <c r="B8" s="28" t="n">
        <v>45740</v>
      </c>
      <c r="C8" s="8" t="s">
        <v>3</v>
      </c>
      <c r="D8" s="5" t="n">
        <v>324</v>
      </c>
      <c r="E8" s="5" t="n">
        <v>324.9</v>
      </c>
      <c r="F8" s="5" t="n">
        <v>323.8</v>
      </c>
      <c r="G8" s="5" t="n">
        <v>324.1</v>
      </c>
      <c r="H8" s="5" t="n">
        <v>324</v>
      </c>
      <c r="I8" s="5" t="n">
        <v>324.2</v>
      </c>
      <c r="K8" s="29" t="n">
        <v>18.339</v>
      </c>
      <c r="L8" s="30" t="n">
        <v>56603</v>
      </c>
    </row>
    <row r="9" customFormat="false" ht="15" hidden="false" customHeight="true" outlineLevel="0" collapsed="false">
      <c r="A9" s="8" t="n">
        <v>7</v>
      </c>
      <c r="B9" s="28" t="n">
        <v>45739</v>
      </c>
      <c r="C9" s="8" t="s">
        <v>3</v>
      </c>
      <c r="D9" s="5" t="n">
        <v>324.2</v>
      </c>
      <c r="E9" s="5" t="n">
        <v>325</v>
      </c>
      <c r="F9" s="5" t="n">
        <v>324</v>
      </c>
      <c r="G9" s="5" t="n">
        <v>325</v>
      </c>
      <c r="H9" s="5" t="n">
        <v>324.2</v>
      </c>
      <c r="I9" s="5" t="n">
        <v>324.2</v>
      </c>
      <c r="K9" s="29" t="n">
        <v>15.717</v>
      </c>
      <c r="L9" s="30" t="n">
        <v>48479</v>
      </c>
    </row>
    <row r="10" customFormat="false" ht="15" hidden="false" customHeight="true" outlineLevel="0" collapsed="false">
      <c r="A10" s="8" t="n">
        <v>8</v>
      </c>
      <c r="B10" s="28" t="n">
        <v>45736</v>
      </c>
      <c r="C10" s="8" t="s">
        <v>3</v>
      </c>
      <c r="D10" s="5" t="n">
        <v>324.2</v>
      </c>
      <c r="E10" s="5" t="n">
        <v>326</v>
      </c>
      <c r="F10" s="5" t="n">
        <v>323.1</v>
      </c>
      <c r="G10" s="5" t="n">
        <v>324.9</v>
      </c>
      <c r="H10" s="5" t="n">
        <v>324.2</v>
      </c>
      <c r="I10" s="5" t="n">
        <v>324.7</v>
      </c>
      <c r="K10" s="29" t="n">
        <v>9.904</v>
      </c>
      <c r="L10" s="30" t="n">
        <v>30548</v>
      </c>
    </row>
    <row r="11" customFormat="false" ht="15" hidden="false" customHeight="true" outlineLevel="0" collapsed="false">
      <c r="A11" s="8" t="n">
        <v>9</v>
      </c>
      <c r="B11" s="28" t="n">
        <v>45735</v>
      </c>
      <c r="C11" s="8" t="s">
        <v>3</v>
      </c>
      <c r="D11" s="5" t="n">
        <v>324.7</v>
      </c>
      <c r="E11" s="5" t="n">
        <v>326.9</v>
      </c>
      <c r="F11" s="5" t="n">
        <v>323</v>
      </c>
      <c r="G11" s="5" t="n">
        <v>326.9</v>
      </c>
      <c r="H11" s="5" t="n">
        <v>324.7</v>
      </c>
      <c r="I11" s="5" t="n">
        <v>324</v>
      </c>
      <c r="K11" s="29" t="n">
        <v>13.878</v>
      </c>
      <c r="L11" s="30" t="n">
        <v>42740</v>
      </c>
    </row>
    <row r="12" customFormat="false" ht="15" hidden="false" customHeight="true" outlineLevel="0" collapsed="false">
      <c r="A12" s="8" t="n">
        <v>10</v>
      </c>
      <c r="B12" s="28" t="n">
        <v>45734</v>
      </c>
      <c r="C12" s="8" t="s">
        <v>3</v>
      </c>
      <c r="D12" s="5" t="n">
        <v>324</v>
      </c>
      <c r="E12" s="5" t="n">
        <v>324.5</v>
      </c>
      <c r="F12" s="5" t="n">
        <v>323.7</v>
      </c>
      <c r="G12" s="5" t="n">
        <v>324.1</v>
      </c>
      <c r="H12" s="5" t="n">
        <v>324</v>
      </c>
      <c r="I12" s="5" t="n">
        <v>324</v>
      </c>
      <c r="K12" s="29" t="n">
        <v>10.742</v>
      </c>
      <c r="L12" s="30" t="n">
        <v>33153</v>
      </c>
    </row>
    <row r="13" customFormat="false" ht="15" hidden="false" customHeight="true" outlineLevel="0" collapsed="false">
      <c r="A13" s="8" t="n">
        <v>11</v>
      </c>
      <c r="B13" s="28" t="n">
        <v>45733</v>
      </c>
      <c r="C13" s="8" t="s">
        <v>3</v>
      </c>
      <c r="D13" s="5" t="n">
        <v>324</v>
      </c>
      <c r="E13" s="5" t="n">
        <v>327.4</v>
      </c>
      <c r="F13" s="5" t="n">
        <v>323.4</v>
      </c>
      <c r="G13" s="5" t="n">
        <v>326</v>
      </c>
      <c r="H13" s="5" t="n">
        <v>324</v>
      </c>
      <c r="I13" s="5" t="n">
        <v>326</v>
      </c>
      <c r="K13" s="29" t="n">
        <v>12.23</v>
      </c>
      <c r="L13" s="30" t="n">
        <v>37748</v>
      </c>
    </row>
    <row r="14" customFormat="false" ht="15" hidden="false" customHeight="true" outlineLevel="0" collapsed="false">
      <c r="A14" s="8" t="n">
        <v>12</v>
      </c>
      <c r="B14" s="28" t="n">
        <v>45732</v>
      </c>
      <c r="C14" s="8" t="s">
        <v>3</v>
      </c>
      <c r="D14" s="5" t="n">
        <v>326</v>
      </c>
      <c r="E14" s="5" t="n">
        <v>329.8</v>
      </c>
      <c r="F14" s="5" t="n">
        <v>325.4</v>
      </c>
      <c r="G14" s="5" t="n">
        <v>328.2</v>
      </c>
      <c r="H14" s="5" t="n">
        <v>326</v>
      </c>
      <c r="I14" s="5" t="n">
        <v>328.2</v>
      </c>
      <c r="K14" s="29" t="n">
        <v>20.127</v>
      </c>
      <c r="L14" s="30" t="n">
        <v>61739</v>
      </c>
    </row>
    <row r="15" customFormat="false" ht="15" hidden="false" customHeight="true" outlineLevel="0" collapsed="false">
      <c r="A15" s="8" t="n">
        <v>13</v>
      </c>
      <c r="B15" s="28" t="n">
        <v>45729</v>
      </c>
      <c r="C15" s="8" t="s">
        <v>3</v>
      </c>
      <c r="D15" s="5" t="n">
        <v>328.2</v>
      </c>
      <c r="E15" s="5" t="n">
        <v>329.1</v>
      </c>
      <c r="F15" s="5" t="n">
        <v>327.6</v>
      </c>
      <c r="G15" s="5" t="n">
        <v>328.3</v>
      </c>
      <c r="H15" s="5" t="n">
        <v>328.2</v>
      </c>
      <c r="I15" s="5" t="n">
        <v>328.1</v>
      </c>
      <c r="K15" s="29" t="n">
        <v>15.572</v>
      </c>
      <c r="L15" s="30" t="n">
        <v>47448</v>
      </c>
    </row>
    <row r="16" customFormat="false" ht="15" hidden="false" customHeight="true" outlineLevel="0" collapsed="false">
      <c r="A16" s="8" t="n">
        <v>14</v>
      </c>
      <c r="B16" s="28" t="n">
        <v>45728</v>
      </c>
      <c r="C16" s="8" t="s">
        <v>3</v>
      </c>
      <c r="D16" s="5" t="n">
        <v>328.1</v>
      </c>
      <c r="E16" s="5" t="n">
        <v>330</v>
      </c>
      <c r="F16" s="5" t="n">
        <v>324.9</v>
      </c>
      <c r="G16" s="5" t="n">
        <v>324.9</v>
      </c>
      <c r="H16" s="5" t="n">
        <v>328.1</v>
      </c>
      <c r="I16" s="5" t="n">
        <v>324.9</v>
      </c>
      <c r="K16" s="29" t="n">
        <v>15.047</v>
      </c>
      <c r="L16" s="30" t="n">
        <v>45862</v>
      </c>
    </row>
    <row r="17" customFormat="false" ht="15" hidden="false" customHeight="true" outlineLevel="0" collapsed="false">
      <c r="A17" s="8" t="n">
        <v>15</v>
      </c>
      <c r="B17" s="28" t="n">
        <v>45727</v>
      </c>
      <c r="C17" s="8" t="s">
        <v>3</v>
      </c>
      <c r="D17" s="5" t="n">
        <v>324.9</v>
      </c>
      <c r="E17" s="5" t="n">
        <v>327</v>
      </c>
      <c r="F17" s="5" t="n">
        <v>324.1</v>
      </c>
      <c r="G17" s="5" t="n">
        <v>324.9</v>
      </c>
      <c r="H17" s="5" t="n">
        <v>324.9</v>
      </c>
      <c r="I17" s="5" t="n">
        <v>324.6</v>
      </c>
      <c r="K17" s="29" t="n">
        <v>16.768</v>
      </c>
      <c r="L17" s="30" t="n">
        <v>51610</v>
      </c>
    </row>
    <row r="18" customFormat="false" ht="15" hidden="false" customHeight="true" outlineLevel="0" collapsed="false">
      <c r="A18" s="8" t="n">
        <v>16</v>
      </c>
      <c r="B18" s="28" t="n">
        <v>45726</v>
      </c>
      <c r="C18" s="8" t="s">
        <v>3</v>
      </c>
      <c r="D18" s="5" t="n">
        <v>324.6</v>
      </c>
      <c r="E18" s="5" t="n">
        <v>326</v>
      </c>
      <c r="F18" s="5" t="n">
        <v>323.2</v>
      </c>
      <c r="G18" s="5" t="n">
        <v>323.6</v>
      </c>
      <c r="H18" s="5" t="n">
        <v>324.6</v>
      </c>
      <c r="I18" s="5" t="n">
        <v>324.3</v>
      </c>
      <c r="K18" s="29" t="n">
        <v>14.993</v>
      </c>
      <c r="L18" s="30" t="n">
        <v>46188</v>
      </c>
    </row>
    <row r="19" customFormat="false" ht="15" hidden="false" customHeight="true" outlineLevel="0" collapsed="false">
      <c r="A19" s="8" t="n">
        <v>17</v>
      </c>
      <c r="B19" s="28" t="n">
        <v>45725</v>
      </c>
      <c r="C19" s="8" t="s">
        <v>3</v>
      </c>
      <c r="D19" s="5" t="n">
        <v>324.3</v>
      </c>
      <c r="E19" s="5" t="n">
        <v>327.8</v>
      </c>
      <c r="F19" s="5" t="n">
        <v>324</v>
      </c>
      <c r="G19" s="5" t="n">
        <v>326.6</v>
      </c>
      <c r="H19" s="5" t="n">
        <v>324.3</v>
      </c>
      <c r="I19" s="5" t="n">
        <v>326.6</v>
      </c>
      <c r="K19" s="29" t="n">
        <v>18.759</v>
      </c>
      <c r="L19" s="30" t="n">
        <v>57846</v>
      </c>
    </row>
    <row r="20" customFormat="false" ht="15" hidden="false" customHeight="true" outlineLevel="0" collapsed="false">
      <c r="A20" s="8" t="n">
        <v>18</v>
      </c>
      <c r="B20" s="28" t="n">
        <v>45722</v>
      </c>
      <c r="C20" s="8" t="s">
        <v>3</v>
      </c>
      <c r="D20" s="5" t="n">
        <v>326.6</v>
      </c>
      <c r="E20" s="5" t="n">
        <v>330</v>
      </c>
      <c r="F20" s="5" t="n">
        <v>326.3</v>
      </c>
      <c r="G20" s="5" t="n">
        <v>328</v>
      </c>
      <c r="H20" s="5" t="n">
        <v>326.6</v>
      </c>
      <c r="I20" s="5" t="n">
        <v>327.6</v>
      </c>
      <c r="K20" s="29" t="n">
        <v>20.915</v>
      </c>
      <c r="L20" s="30" t="n">
        <v>64039</v>
      </c>
    </row>
    <row r="21" customFormat="false" ht="15" hidden="false" customHeight="true" outlineLevel="0" collapsed="false">
      <c r="A21" s="8" t="n">
        <v>19</v>
      </c>
      <c r="B21" s="28" t="n">
        <v>45721</v>
      </c>
      <c r="C21" s="8" t="s">
        <v>3</v>
      </c>
      <c r="D21" s="5" t="n">
        <v>327.6</v>
      </c>
      <c r="E21" s="5" t="n">
        <v>329.2</v>
      </c>
      <c r="F21" s="5" t="n">
        <v>326</v>
      </c>
      <c r="G21" s="5" t="n">
        <v>327</v>
      </c>
      <c r="H21" s="5" t="n">
        <v>327.6</v>
      </c>
      <c r="I21" s="5" t="n">
        <v>327</v>
      </c>
      <c r="K21" s="29" t="n">
        <v>25.3</v>
      </c>
      <c r="L21" s="30" t="n">
        <v>77228</v>
      </c>
    </row>
    <row r="22" customFormat="false" ht="15" hidden="false" customHeight="true" outlineLevel="0" collapsed="false">
      <c r="A22" s="8" t="n">
        <v>20</v>
      </c>
      <c r="B22" s="28" t="n">
        <v>45720</v>
      </c>
      <c r="C22" s="8" t="s">
        <v>3</v>
      </c>
      <c r="D22" s="5" t="n">
        <v>327</v>
      </c>
      <c r="E22" s="5" t="n">
        <v>331.9</v>
      </c>
      <c r="F22" s="5" t="n">
        <v>326.1</v>
      </c>
      <c r="G22" s="5" t="n">
        <v>330.1</v>
      </c>
      <c r="H22" s="5" t="n">
        <v>327</v>
      </c>
      <c r="I22" s="5" t="n">
        <v>330.7</v>
      </c>
      <c r="K22" s="29" t="n">
        <v>30.065</v>
      </c>
      <c r="L22" s="30" t="n">
        <v>91941</v>
      </c>
    </row>
    <row r="23" customFormat="false" ht="15" hidden="false" customHeight="true" outlineLevel="0" collapsed="false">
      <c r="A23" s="8" t="n">
        <v>21</v>
      </c>
      <c r="B23" s="28" t="n">
        <v>45719</v>
      </c>
      <c r="C23" s="8" t="s">
        <v>3</v>
      </c>
      <c r="D23" s="5" t="n">
        <v>330.7</v>
      </c>
      <c r="E23" s="5" t="n">
        <v>334.4</v>
      </c>
      <c r="F23" s="5" t="n">
        <v>330.1</v>
      </c>
      <c r="G23" s="5" t="n">
        <v>334.4</v>
      </c>
      <c r="H23" s="5" t="n">
        <v>330.7</v>
      </c>
      <c r="I23" s="5" t="n">
        <v>333.9</v>
      </c>
      <c r="K23" s="29" t="n">
        <v>33.23</v>
      </c>
      <c r="L23" s="30" t="n">
        <v>100483</v>
      </c>
    </row>
    <row r="24" customFormat="false" ht="15" hidden="false" customHeight="true" outlineLevel="0" collapsed="false">
      <c r="A24" s="8" t="n">
        <v>22</v>
      </c>
      <c r="B24" s="28" t="n">
        <v>45718</v>
      </c>
      <c r="C24" s="8" t="s">
        <v>3</v>
      </c>
      <c r="D24" s="5" t="n">
        <v>333.9</v>
      </c>
      <c r="E24" s="5" t="n">
        <v>336.1</v>
      </c>
      <c r="F24" s="5" t="n">
        <v>333</v>
      </c>
      <c r="G24" s="5" t="n">
        <v>335</v>
      </c>
      <c r="H24" s="5" t="n">
        <v>333.9</v>
      </c>
      <c r="I24" s="5" t="n">
        <v>334</v>
      </c>
      <c r="K24" s="29" t="n">
        <v>27.611</v>
      </c>
      <c r="L24" s="30" t="n">
        <v>82692</v>
      </c>
    </row>
    <row r="25" customFormat="false" ht="15" hidden="false" customHeight="true" outlineLevel="0" collapsed="false">
      <c r="A25" s="8" t="n">
        <v>23</v>
      </c>
      <c r="B25" s="28" t="n">
        <v>45715</v>
      </c>
      <c r="C25" s="8" t="s">
        <v>3</v>
      </c>
      <c r="D25" s="5" t="n">
        <v>334</v>
      </c>
      <c r="E25" s="5" t="n">
        <v>340</v>
      </c>
      <c r="F25" s="5" t="n">
        <v>330.2</v>
      </c>
      <c r="G25" s="5" t="n">
        <v>340</v>
      </c>
      <c r="H25" s="5" t="n">
        <v>334</v>
      </c>
      <c r="I25" s="5" t="n">
        <v>346.7</v>
      </c>
      <c r="K25" s="29" t="n">
        <v>75.677</v>
      </c>
      <c r="L25" s="30" t="n">
        <v>226578</v>
      </c>
    </row>
    <row r="26" customFormat="false" ht="15" hidden="false" customHeight="true" outlineLevel="0" collapsed="false">
      <c r="A26" s="8" t="n">
        <v>24</v>
      </c>
      <c r="B26" s="28" t="n">
        <v>45714</v>
      </c>
      <c r="C26" s="8" t="s">
        <v>3</v>
      </c>
      <c r="D26" s="5" t="n">
        <v>346.7</v>
      </c>
      <c r="E26" s="5" t="n">
        <v>346.7</v>
      </c>
      <c r="F26" s="5" t="n">
        <v>346.7</v>
      </c>
      <c r="G26" s="5" t="n">
        <v>346.7</v>
      </c>
      <c r="H26" s="5" t="n">
        <v>346.7</v>
      </c>
      <c r="I26" s="5" t="n">
        <v>346.7</v>
      </c>
      <c r="K26" s="29" t="n">
        <v>0</v>
      </c>
      <c r="L26" s="30" t="n">
        <v>0</v>
      </c>
    </row>
    <row r="27" customFormat="false" ht="15" hidden="false" customHeight="true" outlineLevel="0" collapsed="false">
      <c r="A27" s="8" t="n">
        <v>25</v>
      </c>
      <c r="B27" s="28" t="n">
        <v>45713</v>
      </c>
      <c r="C27" s="8" t="s">
        <v>3</v>
      </c>
      <c r="D27" s="5" t="n">
        <v>346.7</v>
      </c>
      <c r="E27" s="5" t="n">
        <v>347.7</v>
      </c>
      <c r="F27" s="5" t="n">
        <v>345.7</v>
      </c>
      <c r="G27" s="5" t="n">
        <v>346.8</v>
      </c>
      <c r="H27" s="5" t="n">
        <v>346.7</v>
      </c>
      <c r="I27" s="5" t="n">
        <v>345.6</v>
      </c>
      <c r="K27" s="29" t="n">
        <v>77.174</v>
      </c>
      <c r="L27" s="30" t="n">
        <v>222597</v>
      </c>
    </row>
    <row r="28" customFormat="false" ht="15" hidden="false" customHeight="true" outlineLevel="0" collapsed="false">
      <c r="A28" s="8" t="n">
        <v>26</v>
      </c>
      <c r="B28" s="28" t="n">
        <v>45712</v>
      </c>
      <c r="C28" s="8" t="s">
        <v>3</v>
      </c>
      <c r="D28" s="5" t="n">
        <v>345.6</v>
      </c>
      <c r="E28" s="5" t="n">
        <v>348</v>
      </c>
      <c r="F28" s="5" t="n">
        <v>344.9</v>
      </c>
      <c r="G28" s="5" t="n">
        <v>345.5</v>
      </c>
      <c r="H28" s="5" t="n">
        <v>345.6</v>
      </c>
      <c r="I28" s="5" t="n">
        <v>345.8</v>
      </c>
      <c r="K28" s="29" t="n">
        <v>40.316</v>
      </c>
      <c r="L28" s="30" t="n">
        <v>116656</v>
      </c>
    </row>
    <row r="29" customFormat="false" ht="15" hidden="false" customHeight="true" outlineLevel="0" collapsed="false">
      <c r="A29" s="8" t="n">
        <v>27</v>
      </c>
      <c r="B29" s="28" t="n">
        <v>45711</v>
      </c>
      <c r="C29" s="8" t="s">
        <v>3</v>
      </c>
      <c r="D29" s="5" t="n">
        <v>345.8</v>
      </c>
      <c r="E29" s="5" t="n">
        <v>346.5</v>
      </c>
      <c r="F29" s="5" t="n">
        <v>340.9</v>
      </c>
      <c r="G29" s="5" t="n">
        <v>341</v>
      </c>
      <c r="H29" s="5" t="n">
        <v>345.8</v>
      </c>
      <c r="I29" s="5" t="n">
        <v>339</v>
      </c>
      <c r="K29" s="29" t="n">
        <v>37.952</v>
      </c>
      <c r="L29" s="30" t="n">
        <v>109752</v>
      </c>
    </row>
    <row r="30" customFormat="false" ht="15" hidden="false" customHeight="true" outlineLevel="0" collapsed="false">
      <c r="A30" s="8" t="n">
        <v>28</v>
      </c>
      <c r="B30" s="28" t="n">
        <v>45708</v>
      </c>
      <c r="C30" s="8" t="s">
        <v>3</v>
      </c>
      <c r="D30" s="5" t="n">
        <v>339</v>
      </c>
      <c r="E30" s="5" t="n">
        <v>344</v>
      </c>
      <c r="F30" s="5" t="n">
        <v>338</v>
      </c>
      <c r="G30" s="5" t="n">
        <v>344</v>
      </c>
      <c r="H30" s="5" t="n">
        <v>339</v>
      </c>
      <c r="I30" s="5" t="n">
        <v>341.3</v>
      </c>
      <c r="K30" s="29" t="n">
        <v>119.306</v>
      </c>
      <c r="L30" s="30" t="n">
        <v>351936</v>
      </c>
    </row>
    <row r="31" customFormat="false" ht="15" hidden="false" customHeight="true" outlineLevel="0" collapsed="false">
      <c r="A31" s="8" t="n">
        <v>29</v>
      </c>
      <c r="B31" s="28" t="n">
        <v>45707</v>
      </c>
      <c r="C31" s="8" t="s">
        <v>3</v>
      </c>
      <c r="D31" s="5" t="n">
        <v>341.3</v>
      </c>
      <c r="E31" s="5" t="n">
        <v>345.1</v>
      </c>
      <c r="F31" s="5" t="n">
        <v>340</v>
      </c>
      <c r="G31" s="5" t="n">
        <v>344.7</v>
      </c>
      <c r="H31" s="5" t="n">
        <v>341.3</v>
      </c>
      <c r="I31" s="5" t="n">
        <v>344.7</v>
      </c>
      <c r="K31" s="29" t="n">
        <v>99.053</v>
      </c>
      <c r="L31" s="30" t="n">
        <v>290222</v>
      </c>
    </row>
    <row r="32" customFormat="false" ht="15" hidden="false" customHeight="true" outlineLevel="0" collapsed="false">
      <c r="A32" s="8" t="n">
        <v>30</v>
      </c>
      <c r="B32" s="28" t="n">
        <v>45706</v>
      </c>
      <c r="C32" s="8" t="s">
        <v>3</v>
      </c>
      <c r="D32" s="5" t="n">
        <v>344.7</v>
      </c>
      <c r="E32" s="5" t="n">
        <v>347</v>
      </c>
      <c r="F32" s="5" t="n">
        <v>343.8</v>
      </c>
      <c r="G32" s="5" t="n">
        <v>346.7</v>
      </c>
      <c r="H32" s="5" t="n">
        <v>344.7</v>
      </c>
      <c r="I32" s="5" t="n">
        <v>346.7</v>
      </c>
      <c r="K32" s="29" t="n">
        <v>100.856</v>
      </c>
      <c r="L32" s="30" t="n">
        <v>292592</v>
      </c>
    </row>
    <row r="33" customFormat="false" ht="15" hidden="false" customHeight="true" outlineLevel="0" collapsed="false">
      <c r="A33" s="8" t="n">
        <v>31</v>
      </c>
      <c r="B33" s="28" t="n">
        <v>45705</v>
      </c>
      <c r="C33" s="8" t="s">
        <v>3</v>
      </c>
      <c r="D33" s="5" t="n">
        <v>346.7</v>
      </c>
      <c r="E33" s="5" t="n">
        <v>348</v>
      </c>
      <c r="F33" s="5" t="n">
        <v>346</v>
      </c>
      <c r="G33" s="5" t="n">
        <v>346.7</v>
      </c>
      <c r="H33" s="5" t="n">
        <v>346.7</v>
      </c>
      <c r="I33" s="5" t="n">
        <v>346.7</v>
      </c>
      <c r="K33" s="29" t="n">
        <v>93.175</v>
      </c>
      <c r="L33" s="30" t="n">
        <v>268747</v>
      </c>
    </row>
    <row r="34" customFormat="false" ht="15" hidden="false" customHeight="true" outlineLevel="0" collapsed="false">
      <c r="A34" s="8" t="n">
        <v>32</v>
      </c>
      <c r="B34" s="28" t="n">
        <v>45704</v>
      </c>
      <c r="C34" s="8" t="s">
        <v>3</v>
      </c>
      <c r="D34" s="5" t="n">
        <v>346.7</v>
      </c>
      <c r="E34" s="5" t="n">
        <v>350.3</v>
      </c>
      <c r="F34" s="5" t="n">
        <v>346.2</v>
      </c>
      <c r="G34" s="5" t="n">
        <v>350.3</v>
      </c>
      <c r="H34" s="5" t="n">
        <v>346.7</v>
      </c>
      <c r="I34" s="5" t="n">
        <v>348.7</v>
      </c>
      <c r="K34" s="29" t="n">
        <v>44.16</v>
      </c>
      <c r="L34" s="30" t="n">
        <v>127373</v>
      </c>
    </row>
    <row r="35" customFormat="false" ht="15" hidden="false" customHeight="true" outlineLevel="0" collapsed="false">
      <c r="A35" s="8" t="n">
        <v>33</v>
      </c>
      <c r="B35" s="28" t="n">
        <v>45701</v>
      </c>
      <c r="C35" s="8" t="s">
        <v>3</v>
      </c>
      <c r="D35" s="5" t="n">
        <v>348.7</v>
      </c>
      <c r="E35" s="5" t="n">
        <v>349.2</v>
      </c>
      <c r="F35" s="5" t="n">
        <v>346.3</v>
      </c>
      <c r="G35" s="5" t="n">
        <v>347.1</v>
      </c>
      <c r="H35" s="5" t="n">
        <v>348.7</v>
      </c>
      <c r="I35" s="5" t="n">
        <v>346.8</v>
      </c>
      <c r="K35" s="29" t="n">
        <v>21.381</v>
      </c>
      <c r="L35" s="30" t="n">
        <v>61317</v>
      </c>
    </row>
    <row r="36" customFormat="false" ht="15" hidden="false" customHeight="true" outlineLevel="0" collapsed="false">
      <c r="A36" s="8" t="n">
        <v>34</v>
      </c>
      <c r="B36" s="28" t="n">
        <v>45700</v>
      </c>
      <c r="C36" s="8" t="s">
        <v>3</v>
      </c>
      <c r="D36" s="5" t="n">
        <v>346.8</v>
      </c>
      <c r="E36" s="5" t="n">
        <v>348.3</v>
      </c>
      <c r="F36" s="5" t="n">
        <v>346.1</v>
      </c>
      <c r="G36" s="5" t="n">
        <v>348.3</v>
      </c>
      <c r="H36" s="5" t="n">
        <v>346.8</v>
      </c>
      <c r="I36" s="5" t="n">
        <v>346.9</v>
      </c>
      <c r="K36" s="29" t="n">
        <v>21.481</v>
      </c>
      <c r="L36" s="30" t="n">
        <v>61942</v>
      </c>
    </row>
    <row r="37" customFormat="false" ht="15" hidden="false" customHeight="true" outlineLevel="0" collapsed="false">
      <c r="A37" s="8" t="n">
        <v>35</v>
      </c>
      <c r="B37" s="28" t="n">
        <v>45699</v>
      </c>
      <c r="C37" s="8" t="s">
        <v>3</v>
      </c>
      <c r="D37" s="5" t="n">
        <v>346.9</v>
      </c>
      <c r="E37" s="5" t="n">
        <v>351</v>
      </c>
      <c r="F37" s="5" t="n">
        <v>346</v>
      </c>
      <c r="G37" s="5" t="n">
        <v>351</v>
      </c>
      <c r="H37" s="5" t="n">
        <v>346.9</v>
      </c>
      <c r="I37" s="5" t="n">
        <v>349.3</v>
      </c>
      <c r="K37" s="29" t="n">
        <v>48.347</v>
      </c>
      <c r="L37" s="30" t="n">
        <v>139369</v>
      </c>
    </row>
    <row r="38" customFormat="false" ht="15" hidden="false" customHeight="true" outlineLevel="0" collapsed="false">
      <c r="A38" s="8" t="n">
        <v>36</v>
      </c>
      <c r="B38" s="28" t="n">
        <v>45698</v>
      </c>
      <c r="C38" s="8" t="s">
        <v>3</v>
      </c>
      <c r="D38" s="5" t="n">
        <v>349.3</v>
      </c>
      <c r="E38" s="5" t="n">
        <v>351.3</v>
      </c>
      <c r="F38" s="5" t="n">
        <v>349</v>
      </c>
      <c r="G38" s="5" t="n">
        <v>351</v>
      </c>
      <c r="H38" s="5" t="n">
        <v>349.3</v>
      </c>
      <c r="I38" s="5" t="n">
        <v>350.9</v>
      </c>
      <c r="K38" s="29" t="n">
        <v>50.429</v>
      </c>
      <c r="L38" s="30" t="n">
        <v>144373</v>
      </c>
    </row>
    <row r="39" customFormat="false" ht="15" hidden="false" customHeight="true" outlineLevel="0" collapsed="false">
      <c r="A39" s="8" t="n">
        <v>37</v>
      </c>
      <c r="B39" s="28" t="n">
        <v>45697</v>
      </c>
      <c r="C39" s="8" t="s">
        <v>3</v>
      </c>
      <c r="D39" s="5" t="n">
        <v>350.9</v>
      </c>
      <c r="E39" s="5" t="n">
        <v>352.7</v>
      </c>
      <c r="F39" s="5" t="n">
        <v>349.8</v>
      </c>
      <c r="G39" s="5" t="n">
        <v>352.7</v>
      </c>
      <c r="H39" s="5" t="n">
        <v>350.9</v>
      </c>
      <c r="I39" s="5" t="n">
        <v>350.1</v>
      </c>
      <c r="K39" s="29" t="n">
        <v>15.274</v>
      </c>
      <c r="L39" s="30" t="n">
        <v>43529</v>
      </c>
    </row>
    <row r="40" customFormat="false" ht="15" hidden="false" customHeight="true" outlineLevel="0" collapsed="false">
      <c r="A40" s="8" t="n">
        <v>38</v>
      </c>
      <c r="B40" s="28" t="n">
        <v>45694</v>
      </c>
      <c r="C40" s="8" t="s">
        <v>3</v>
      </c>
      <c r="D40" s="5" t="n">
        <v>350.1</v>
      </c>
      <c r="E40" s="5" t="n">
        <v>354</v>
      </c>
      <c r="F40" s="5" t="n">
        <v>259</v>
      </c>
      <c r="G40" s="5" t="n">
        <v>349.9</v>
      </c>
      <c r="H40" s="5" t="n">
        <v>350.1</v>
      </c>
      <c r="I40" s="5" t="n">
        <v>353.3</v>
      </c>
      <c r="K40" s="29" t="n">
        <v>58.566</v>
      </c>
      <c r="L40" s="30" t="n">
        <v>167285</v>
      </c>
    </row>
    <row r="41" customFormat="false" ht="15" hidden="false" customHeight="true" outlineLevel="0" collapsed="false">
      <c r="A41" s="8" t="n">
        <v>39</v>
      </c>
      <c r="B41" s="28" t="n">
        <v>45693</v>
      </c>
      <c r="C41" s="8" t="s">
        <v>3</v>
      </c>
      <c r="D41" s="5" t="n">
        <v>353.3</v>
      </c>
      <c r="E41" s="5" t="n">
        <v>354.5</v>
      </c>
      <c r="F41" s="5" t="n">
        <v>349.6</v>
      </c>
      <c r="G41" s="5" t="n">
        <v>349.6</v>
      </c>
      <c r="H41" s="5" t="n">
        <v>353.3</v>
      </c>
      <c r="I41" s="5" t="n">
        <v>349.6</v>
      </c>
      <c r="K41" s="29" t="n">
        <v>25.33</v>
      </c>
      <c r="L41" s="30" t="n">
        <v>71696</v>
      </c>
    </row>
    <row r="42" customFormat="false" ht="15" hidden="false" customHeight="true" outlineLevel="0" collapsed="false">
      <c r="A42" s="8" t="n">
        <v>40</v>
      </c>
      <c r="B42" s="28" t="n">
        <v>45692</v>
      </c>
      <c r="C42" s="8" t="s">
        <v>3</v>
      </c>
      <c r="D42" s="5" t="n">
        <v>349.6</v>
      </c>
      <c r="E42" s="5" t="n">
        <v>354.5</v>
      </c>
      <c r="F42" s="5" t="n">
        <v>349.2</v>
      </c>
      <c r="G42" s="5" t="n">
        <v>354</v>
      </c>
      <c r="H42" s="5" t="n">
        <v>349.6</v>
      </c>
      <c r="I42" s="5" t="n">
        <v>352.9</v>
      </c>
      <c r="K42" s="29" t="n">
        <v>32.367</v>
      </c>
      <c r="L42" s="30" t="n">
        <v>92584</v>
      </c>
    </row>
    <row r="43" customFormat="false" ht="15" hidden="false" customHeight="true" outlineLevel="0" collapsed="false">
      <c r="A43" s="8" t="n">
        <v>41</v>
      </c>
      <c r="B43" s="28" t="n">
        <v>45691</v>
      </c>
      <c r="C43" s="8" t="s">
        <v>3</v>
      </c>
      <c r="D43" s="5" t="n">
        <v>352.9</v>
      </c>
      <c r="E43" s="5" t="n">
        <v>354.6</v>
      </c>
      <c r="F43" s="5" t="n">
        <v>352</v>
      </c>
      <c r="G43" s="5" t="n">
        <v>354</v>
      </c>
      <c r="H43" s="5" t="n">
        <v>352.9</v>
      </c>
      <c r="I43" s="5" t="n">
        <v>352.9</v>
      </c>
      <c r="K43" s="29" t="n">
        <v>23.021</v>
      </c>
      <c r="L43" s="30" t="n">
        <v>65233</v>
      </c>
    </row>
    <row r="44" customFormat="false" ht="15" hidden="false" customHeight="true" outlineLevel="0" collapsed="false">
      <c r="A44" s="8" t="n">
        <v>42</v>
      </c>
      <c r="B44" s="28" t="n">
        <v>45690</v>
      </c>
      <c r="C44" s="8" t="s">
        <v>3</v>
      </c>
      <c r="D44" s="5" t="n">
        <v>352.9</v>
      </c>
      <c r="E44" s="5" t="n">
        <v>355.4</v>
      </c>
      <c r="F44" s="5" t="n">
        <v>351.4</v>
      </c>
      <c r="G44" s="5" t="n">
        <v>353.6</v>
      </c>
      <c r="H44" s="5" t="n">
        <v>352.9</v>
      </c>
      <c r="I44" s="5" t="n">
        <v>353.6</v>
      </c>
      <c r="K44" s="29" t="n">
        <v>21.232</v>
      </c>
      <c r="L44" s="30" t="n">
        <v>60164</v>
      </c>
    </row>
    <row r="45" customFormat="false" ht="15" hidden="false" customHeight="true" outlineLevel="0" collapsed="false">
      <c r="A45" s="8" t="n">
        <v>43</v>
      </c>
      <c r="B45" s="28" t="n">
        <v>45687</v>
      </c>
      <c r="C45" s="8" t="s">
        <v>3</v>
      </c>
      <c r="D45" s="5" t="n">
        <v>353.6</v>
      </c>
      <c r="E45" s="5" t="n">
        <v>356.6</v>
      </c>
      <c r="F45" s="5" t="n">
        <v>351.4</v>
      </c>
      <c r="G45" s="5" t="n">
        <v>351.4</v>
      </c>
      <c r="H45" s="5" t="n">
        <v>353.6</v>
      </c>
      <c r="I45" s="5" t="n">
        <v>350.7</v>
      </c>
      <c r="K45" s="29" t="n">
        <v>28.436</v>
      </c>
      <c r="L45" s="30" t="n">
        <v>80419</v>
      </c>
    </row>
    <row r="46" customFormat="false" ht="15" hidden="false" customHeight="true" outlineLevel="0" collapsed="false">
      <c r="A46" s="8" t="n">
        <v>44</v>
      </c>
      <c r="B46" s="28" t="n">
        <v>45686</v>
      </c>
      <c r="C46" s="8" t="s">
        <v>3</v>
      </c>
      <c r="D46" s="5" t="n">
        <v>350.7</v>
      </c>
      <c r="E46" s="5" t="n">
        <v>351.5</v>
      </c>
      <c r="F46" s="5" t="n">
        <v>344.6</v>
      </c>
      <c r="G46" s="5" t="n">
        <v>344.6</v>
      </c>
      <c r="H46" s="5" t="n">
        <v>350.7</v>
      </c>
      <c r="I46" s="5" t="n">
        <v>344.9</v>
      </c>
      <c r="K46" s="29" t="n">
        <v>24.73</v>
      </c>
      <c r="L46" s="30" t="n">
        <v>70517</v>
      </c>
    </row>
    <row r="47" customFormat="false" ht="15" hidden="false" customHeight="true" outlineLevel="0" collapsed="false">
      <c r="A47" s="8" t="n">
        <v>45</v>
      </c>
      <c r="B47" s="28" t="n">
        <v>45685</v>
      </c>
      <c r="C47" s="8" t="s">
        <v>3</v>
      </c>
      <c r="D47" s="5" t="n">
        <v>344.9</v>
      </c>
      <c r="E47" s="5" t="n">
        <v>346.2</v>
      </c>
      <c r="F47" s="5" t="n">
        <v>343.9</v>
      </c>
      <c r="G47" s="5" t="n">
        <v>345</v>
      </c>
      <c r="H47" s="5" t="n">
        <v>344.9</v>
      </c>
      <c r="I47" s="5" t="n">
        <v>345.1</v>
      </c>
      <c r="K47" s="29" t="n">
        <v>19.263</v>
      </c>
      <c r="L47" s="30" t="n">
        <v>55850</v>
      </c>
    </row>
    <row r="48" customFormat="false" ht="15" hidden="false" customHeight="true" outlineLevel="0" collapsed="false">
      <c r="A48" s="8" t="n">
        <v>46</v>
      </c>
      <c r="B48" s="28" t="n">
        <v>45684</v>
      </c>
      <c r="C48" s="8" t="s">
        <v>3</v>
      </c>
      <c r="D48" s="5" t="n">
        <v>345.1</v>
      </c>
      <c r="E48" s="5" t="n">
        <v>347.1</v>
      </c>
      <c r="F48" s="5" t="n">
        <v>343.9</v>
      </c>
      <c r="G48" s="5" t="n">
        <v>347</v>
      </c>
      <c r="H48" s="5" t="n">
        <v>345.1</v>
      </c>
      <c r="I48" s="5" t="n">
        <v>345.2</v>
      </c>
      <c r="K48" s="29" t="n">
        <v>17.551</v>
      </c>
      <c r="L48" s="30" t="n">
        <v>50858</v>
      </c>
    </row>
    <row r="49" customFormat="false" ht="15" hidden="false" customHeight="true" outlineLevel="0" collapsed="false">
      <c r="A49" s="8" t="n">
        <v>47</v>
      </c>
      <c r="B49" s="28" t="n">
        <v>45683</v>
      </c>
      <c r="C49" s="8" t="s">
        <v>3</v>
      </c>
      <c r="D49" s="5" t="n">
        <v>345.2</v>
      </c>
      <c r="E49" s="5" t="n">
        <v>350</v>
      </c>
      <c r="F49" s="5" t="n">
        <v>344.5</v>
      </c>
      <c r="G49" s="5" t="n">
        <v>348.9</v>
      </c>
      <c r="H49" s="5" t="n">
        <v>345.2</v>
      </c>
      <c r="I49" s="5" t="n">
        <v>349</v>
      </c>
      <c r="K49" s="29" t="n">
        <v>26.833</v>
      </c>
      <c r="L49" s="30" t="n">
        <v>77733</v>
      </c>
    </row>
    <row r="50" customFormat="false" ht="15" hidden="false" customHeight="true" outlineLevel="0" collapsed="false">
      <c r="A50" s="8" t="n">
        <v>48</v>
      </c>
      <c r="B50" s="28" t="n">
        <v>45680</v>
      </c>
      <c r="C50" s="8" t="s">
        <v>3</v>
      </c>
      <c r="D50" s="5" t="n">
        <v>349</v>
      </c>
      <c r="E50" s="5" t="n">
        <v>350.4</v>
      </c>
      <c r="F50" s="5" t="n">
        <v>348.5</v>
      </c>
      <c r="G50" s="5" t="n">
        <v>349.7</v>
      </c>
      <c r="H50" s="5" t="n">
        <v>349</v>
      </c>
      <c r="I50" s="5" t="n">
        <v>349.7</v>
      </c>
      <c r="K50" s="29" t="n">
        <v>15.803</v>
      </c>
      <c r="L50" s="30" t="n">
        <v>45281</v>
      </c>
    </row>
    <row r="51" customFormat="false" ht="15" hidden="false" customHeight="true" outlineLevel="0" collapsed="false">
      <c r="A51" s="8" t="n">
        <v>49</v>
      </c>
      <c r="B51" s="28" t="n">
        <v>45679</v>
      </c>
      <c r="C51" s="8" t="s">
        <v>3</v>
      </c>
      <c r="D51" s="5" t="n">
        <v>349.7</v>
      </c>
      <c r="E51" s="5" t="n">
        <v>352.5</v>
      </c>
      <c r="F51" s="5" t="n">
        <v>349.2</v>
      </c>
      <c r="G51" s="5" t="n">
        <v>352.5</v>
      </c>
      <c r="H51" s="5" t="n">
        <v>349.7</v>
      </c>
      <c r="I51" s="5" t="n">
        <v>350.1</v>
      </c>
      <c r="K51" s="29" t="n">
        <v>19.105</v>
      </c>
      <c r="L51" s="30" t="n">
        <v>54633</v>
      </c>
    </row>
    <row r="52" customFormat="false" ht="15" hidden="false" customHeight="true" outlineLevel="0" collapsed="false">
      <c r="A52" s="8" t="n">
        <v>50</v>
      </c>
      <c r="B52" s="28" t="n">
        <v>45678</v>
      </c>
      <c r="C52" s="8" t="s">
        <v>3</v>
      </c>
      <c r="D52" s="5" t="n">
        <v>350.1</v>
      </c>
      <c r="E52" s="5" t="n">
        <v>353.8</v>
      </c>
      <c r="F52" s="5" t="n">
        <v>349.9</v>
      </c>
      <c r="G52" s="5" t="n">
        <v>352</v>
      </c>
      <c r="H52" s="5" t="n">
        <v>350.1</v>
      </c>
      <c r="I52" s="5" t="n">
        <v>350.2</v>
      </c>
      <c r="K52" s="29" t="n">
        <v>27.954</v>
      </c>
      <c r="L52" s="30" t="n">
        <v>79846</v>
      </c>
    </row>
    <row r="53" customFormat="false" ht="15" hidden="false" customHeight="true" outlineLevel="0" collapsed="false">
      <c r="A53" s="8" t="n">
        <v>51</v>
      </c>
      <c r="B53" s="28" t="n">
        <v>45677</v>
      </c>
      <c r="C53" s="8" t="s">
        <v>3</v>
      </c>
      <c r="D53" s="5" t="n">
        <v>350.2</v>
      </c>
      <c r="E53" s="5" t="n">
        <v>351.7</v>
      </c>
      <c r="F53" s="5" t="n">
        <v>348.2</v>
      </c>
      <c r="G53" s="5" t="n">
        <v>350.7</v>
      </c>
      <c r="H53" s="5" t="n">
        <v>350.2</v>
      </c>
      <c r="I53" s="5" t="n">
        <v>350.5</v>
      </c>
      <c r="K53" s="29" t="n">
        <v>32.986</v>
      </c>
      <c r="L53" s="30" t="n">
        <v>94192</v>
      </c>
    </row>
    <row r="54" customFormat="false" ht="15" hidden="false" customHeight="true" outlineLevel="0" collapsed="false">
      <c r="A54" s="8" t="n">
        <v>52</v>
      </c>
      <c r="B54" s="28" t="n">
        <v>45676</v>
      </c>
      <c r="C54" s="8" t="s">
        <v>3</v>
      </c>
      <c r="D54" s="5" t="n">
        <v>350.5</v>
      </c>
      <c r="E54" s="5" t="n">
        <v>353</v>
      </c>
      <c r="F54" s="5" t="n">
        <v>350</v>
      </c>
      <c r="G54" s="5" t="n">
        <v>353</v>
      </c>
      <c r="H54" s="5" t="n">
        <v>350.5</v>
      </c>
      <c r="I54" s="5" t="n">
        <v>351.7</v>
      </c>
      <c r="K54" s="29" t="n">
        <v>14.666</v>
      </c>
      <c r="L54" s="30" t="n">
        <v>41843</v>
      </c>
    </row>
    <row r="55" customFormat="false" ht="15" hidden="false" customHeight="true" outlineLevel="0" collapsed="false">
      <c r="A55" s="8" t="n">
        <v>53</v>
      </c>
      <c r="B55" s="28" t="n">
        <v>45673</v>
      </c>
      <c r="C55" s="8" t="s">
        <v>3</v>
      </c>
      <c r="D55" s="5" t="n">
        <v>351.7</v>
      </c>
      <c r="E55" s="5" t="n">
        <v>353.9</v>
      </c>
      <c r="F55" s="5" t="n">
        <v>350</v>
      </c>
      <c r="G55" s="5" t="n">
        <v>353.3</v>
      </c>
      <c r="H55" s="5" t="n">
        <v>351.7</v>
      </c>
      <c r="I55" s="5" t="n">
        <v>353.3</v>
      </c>
      <c r="K55" s="29" t="n">
        <v>24.66</v>
      </c>
      <c r="L55" s="30" t="n">
        <v>70116</v>
      </c>
    </row>
    <row r="56" customFormat="false" ht="15" hidden="false" customHeight="true" outlineLevel="0" collapsed="false">
      <c r="A56" s="8" t="n">
        <v>54</v>
      </c>
      <c r="B56" s="28" t="n">
        <v>45672</v>
      </c>
      <c r="C56" s="8" t="s">
        <v>3</v>
      </c>
      <c r="D56" s="5" t="n">
        <v>353.3</v>
      </c>
      <c r="E56" s="5" t="n">
        <v>357.3</v>
      </c>
      <c r="F56" s="5" t="n">
        <v>352</v>
      </c>
      <c r="G56" s="5" t="n">
        <v>357.3</v>
      </c>
      <c r="H56" s="5" t="n">
        <v>353.3</v>
      </c>
      <c r="I56" s="5" t="n">
        <v>357.5</v>
      </c>
      <c r="K56" s="29" t="n">
        <v>33.643</v>
      </c>
      <c r="L56" s="30" t="n">
        <v>95225</v>
      </c>
    </row>
    <row r="57" customFormat="false" ht="15" hidden="false" customHeight="true" outlineLevel="0" collapsed="false">
      <c r="A57" s="8" t="n">
        <v>55</v>
      </c>
      <c r="B57" s="28" t="n">
        <v>45671</v>
      </c>
      <c r="C57" s="8" t="s">
        <v>3</v>
      </c>
      <c r="D57" s="5" t="n">
        <v>357.5</v>
      </c>
      <c r="E57" s="5" t="n">
        <v>361.7</v>
      </c>
      <c r="F57" s="5" t="n">
        <v>355</v>
      </c>
      <c r="G57" s="5" t="n">
        <v>355</v>
      </c>
      <c r="H57" s="5" t="n">
        <v>357.5</v>
      </c>
      <c r="I57" s="5" t="n">
        <v>355</v>
      </c>
      <c r="K57" s="29" t="n">
        <v>56.581</v>
      </c>
      <c r="L57" s="30" t="n">
        <v>158269</v>
      </c>
    </row>
    <row r="58" customFormat="false" ht="15" hidden="false" customHeight="true" outlineLevel="0" collapsed="false">
      <c r="A58" s="8" t="n">
        <v>56</v>
      </c>
      <c r="B58" s="28" t="n">
        <v>45670</v>
      </c>
      <c r="C58" s="8" t="s">
        <v>3</v>
      </c>
      <c r="D58" s="5" t="n">
        <v>355</v>
      </c>
      <c r="E58" s="5" t="n">
        <v>355.9</v>
      </c>
      <c r="F58" s="5" t="n">
        <v>354.1</v>
      </c>
      <c r="G58" s="5" t="n">
        <v>354.4</v>
      </c>
      <c r="H58" s="5" t="n">
        <v>355</v>
      </c>
      <c r="I58" s="5" t="n">
        <v>354.4</v>
      </c>
      <c r="K58" s="29" t="n">
        <v>28.038</v>
      </c>
      <c r="L58" s="30" t="n">
        <v>78979</v>
      </c>
    </row>
    <row r="59" customFormat="false" ht="15" hidden="false" customHeight="true" outlineLevel="0" collapsed="false">
      <c r="A59" s="8" t="n">
        <v>57</v>
      </c>
      <c r="B59" s="28" t="n">
        <v>45669</v>
      </c>
      <c r="C59" s="8" t="s">
        <v>3</v>
      </c>
      <c r="D59" s="5" t="n">
        <v>354.4</v>
      </c>
      <c r="E59" s="5" t="n">
        <v>357.5</v>
      </c>
      <c r="F59" s="5" t="n">
        <v>354.2</v>
      </c>
      <c r="G59" s="5" t="n">
        <v>356.1</v>
      </c>
      <c r="H59" s="5" t="n">
        <v>354.4</v>
      </c>
      <c r="I59" s="5" t="n">
        <v>356.1</v>
      </c>
      <c r="K59" s="29" t="n">
        <v>15.903</v>
      </c>
      <c r="L59" s="30" t="n">
        <v>44873</v>
      </c>
    </row>
    <row r="60" customFormat="false" ht="15" hidden="false" customHeight="true" outlineLevel="0" collapsed="false">
      <c r="A60" s="8" t="n">
        <v>58</v>
      </c>
      <c r="B60" s="28" t="n">
        <v>45666</v>
      </c>
      <c r="C60" s="8" t="s">
        <v>3</v>
      </c>
      <c r="D60" s="5" t="n">
        <v>356.1</v>
      </c>
      <c r="E60" s="5" t="n">
        <v>357</v>
      </c>
      <c r="F60" s="5" t="n">
        <v>353.2</v>
      </c>
      <c r="G60" s="5" t="n">
        <v>355</v>
      </c>
      <c r="H60" s="5" t="n">
        <v>356.1</v>
      </c>
      <c r="I60" s="5" t="n">
        <v>353.7</v>
      </c>
      <c r="K60" s="29" t="n">
        <v>20.876</v>
      </c>
      <c r="L60" s="30" t="n">
        <v>58625</v>
      </c>
    </row>
    <row r="61" customFormat="false" ht="15" hidden="false" customHeight="true" outlineLevel="0" collapsed="false">
      <c r="A61" s="8" t="n">
        <v>59</v>
      </c>
      <c r="B61" s="28" t="n">
        <v>45665</v>
      </c>
      <c r="C61" s="8" t="s">
        <v>3</v>
      </c>
      <c r="D61" s="5" t="n">
        <v>353.7</v>
      </c>
      <c r="E61" s="5" t="n">
        <v>356.6</v>
      </c>
      <c r="F61" s="5" t="n">
        <v>353.1</v>
      </c>
      <c r="G61" s="5" t="n">
        <v>356.6</v>
      </c>
      <c r="H61" s="5" t="n">
        <v>353.7</v>
      </c>
      <c r="I61" s="5" t="n">
        <v>355.1</v>
      </c>
      <c r="K61" s="29" t="n">
        <v>12.241</v>
      </c>
      <c r="L61" s="30" t="n">
        <v>34609</v>
      </c>
    </row>
    <row r="62" customFormat="false" ht="15" hidden="false" customHeight="true" outlineLevel="0" collapsed="false">
      <c r="A62" s="8" t="n">
        <v>60</v>
      </c>
      <c r="B62" s="28" t="n">
        <v>45664</v>
      </c>
      <c r="C62" s="8" t="s">
        <v>3</v>
      </c>
      <c r="D62" s="5" t="n">
        <v>355.1</v>
      </c>
      <c r="E62" s="5" t="n">
        <v>357.9</v>
      </c>
      <c r="F62" s="5" t="n">
        <v>355</v>
      </c>
      <c r="G62" s="5" t="n">
        <v>357</v>
      </c>
      <c r="H62" s="5" t="n">
        <v>355.1</v>
      </c>
      <c r="I62" s="5" t="n">
        <v>356.5</v>
      </c>
      <c r="K62" s="29" t="n">
        <v>29.099</v>
      </c>
      <c r="L62" s="30" t="n">
        <v>81946</v>
      </c>
    </row>
    <row r="63" customFormat="false" ht="15" hidden="false" customHeight="true" outlineLevel="0" collapsed="false">
      <c r="A63" s="8" t="n">
        <v>61</v>
      </c>
      <c r="B63" s="28" t="n">
        <v>45663</v>
      </c>
      <c r="C63" s="8" t="s">
        <v>3</v>
      </c>
      <c r="D63" s="5" t="n">
        <v>356.5</v>
      </c>
      <c r="E63" s="5" t="n">
        <v>357.9</v>
      </c>
      <c r="F63" s="5" t="n">
        <v>355.1</v>
      </c>
      <c r="G63" s="5" t="n">
        <v>357.9</v>
      </c>
      <c r="H63" s="5" t="n">
        <v>356.5</v>
      </c>
      <c r="I63" s="5" t="n">
        <v>356.3</v>
      </c>
      <c r="K63" s="29" t="n">
        <v>22.812</v>
      </c>
      <c r="L63" s="30" t="n">
        <v>63988</v>
      </c>
    </row>
    <row r="64" customFormat="false" ht="15" hidden="false" customHeight="true" outlineLevel="0" collapsed="false">
      <c r="A64" s="8" t="n">
        <v>62</v>
      </c>
      <c r="B64" s="28" t="n">
        <v>45662</v>
      </c>
      <c r="C64" s="8" t="s">
        <v>3</v>
      </c>
      <c r="D64" s="5" t="n">
        <v>356.3</v>
      </c>
      <c r="E64" s="5" t="n">
        <v>359.9</v>
      </c>
      <c r="F64" s="5" t="n">
        <v>355</v>
      </c>
      <c r="G64" s="5" t="n">
        <v>356.5</v>
      </c>
      <c r="H64" s="5" t="n">
        <v>356.3</v>
      </c>
      <c r="I64" s="5" t="n">
        <v>360</v>
      </c>
      <c r="K64" s="29" t="n">
        <v>22.426</v>
      </c>
      <c r="L64" s="30" t="n">
        <v>62941</v>
      </c>
    </row>
    <row r="65" customFormat="false" ht="15" hidden="false" customHeight="true" outlineLevel="0" collapsed="false">
      <c r="A65" s="8" t="n">
        <v>63</v>
      </c>
      <c r="B65" s="28" t="n">
        <v>45659</v>
      </c>
      <c r="C65" s="8" t="s">
        <v>3</v>
      </c>
      <c r="D65" s="5" t="n">
        <v>360</v>
      </c>
      <c r="E65" s="5" t="n">
        <v>368</v>
      </c>
      <c r="F65" s="5" t="n">
        <v>359.5</v>
      </c>
      <c r="G65" s="5" t="n">
        <v>368</v>
      </c>
      <c r="H65" s="5" t="n">
        <v>360</v>
      </c>
      <c r="I65" s="5" t="n">
        <v>368.6</v>
      </c>
      <c r="K65" s="29" t="n">
        <v>49.307</v>
      </c>
      <c r="L65" s="30" t="n">
        <v>136964</v>
      </c>
    </row>
    <row r="66" customFormat="false" ht="15" hidden="false" customHeight="true" outlineLevel="0" collapsed="false">
      <c r="A66" s="8" t="n">
        <v>64</v>
      </c>
      <c r="B66" s="28" t="n">
        <v>45658</v>
      </c>
      <c r="C66" s="8" t="s">
        <v>3</v>
      </c>
      <c r="D66" s="5" t="n">
        <v>368.6</v>
      </c>
      <c r="E66" s="5" t="n">
        <v>373.2</v>
      </c>
      <c r="F66" s="5" t="n">
        <v>366</v>
      </c>
      <c r="G66" s="5" t="n">
        <v>367.6</v>
      </c>
      <c r="H66" s="5" t="n">
        <v>368.6</v>
      </c>
      <c r="I66" s="5" t="n">
        <v>367.6</v>
      </c>
      <c r="K66" s="29" t="n">
        <v>34.957</v>
      </c>
      <c r="L66" s="30" t="n">
        <v>94838</v>
      </c>
    </row>
    <row r="67" customFormat="false" ht="15" hidden="false" customHeight="true" outlineLevel="0" collapsed="false">
      <c r="A67" s="8" t="n">
        <v>65</v>
      </c>
      <c r="B67" s="28" t="n">
        <v>45656</v>
      </c>
      <c r="C67" s="8" t="s">
        <v>3</v>
      </c>
      <c r="D67" s="5" t="n">
        <v>367.6</v>
      </c>
      <c r="E67" s="5" t="n">
        <v>370</v>
      </c>
      <c r="F67" s="5" t="n">
        <v>360.1</v>
      </c>
      <c r="G67" s="5" t="n">
        <v>364</v>
      </c>
      <c r="H67" s="5" t="n">
        <v>367.6</v>
      </c>
      <c r="I67" s="5" t="n">
        <v>361.3</v>
      </c>
      <c r="K67" s="29" t="n">
        <v>119.109</v>
      </c>
      <c r="L67" s="30" t="n">
        <v>324019</v>
      </c>
    </row>
    <row r="68" customFormat="false" ht="15" hidden="false" customHeight="true" outlineLevel="0" collapsed="false">
      <c r="A68" s="8" t="n">
        <v>66</v>
      </c>
      <c r="B68" s="28" t="n">
        <v>45655</v>
      </c>
      <c r="C68" s="8" t="s">
        <v>3</v>
      </c>
      <c r="D68" s="5" t="n">
        <v>361.3</v>
      </c>
      <c r="E68" s="5" t="n">
        <v>362.4</v>
      </c>
      <c r="F68" s="5" t="n">
        <v>353.5</v>
      </c>
      <c r="G68" s="5" t="n">
        <v>354.9</v>
      </c>
      <c r="H68" s="5" t="n">
        <v>361.3</v>
      </c>
      <c r="I68" s="5" t="n">
        <v>354.1</v>
      </c>
      <c r="K68" s="29" t="n">
        <v>71.914</v>
      </c>
      <c r="L68" s="30" t="n">
        <v>199043</v>
      </c>
    </row>
    <row r="69" customFormat="false" ht="15" hidden="false" customHeight="true" outlineLevel="0" collapsed="false">
      <c r="A69" s="8" t="n">
        <v>67</v>
      </c>
      <c r="B69" s="28" t="n">
        <v>45652</v>
      </c>
      <c r="C69" s="8" t="s">
        <v>3</v>
      </c>
      <c r="D69" s="5" t="n">
        <v>354.1</v>
      </c>
      <c r="E69" s="5" t="n">
        <v>356</v>
      </c>
      <c r="F69" s="5" t="n">
        <v>351.3</v>
      </c>
      <c r="G69" s="5" t="n">
        <v>355</v>
      </c>
      <c r="H69" s="5" t="n">
        <v>354.1</v>
      </c>
      <c r="I69" s="5" t="n">
        <v>350.5</v>
      </c>
      <c r="K69" s="29" t="n">
        <v>27.789</v>
      </c>
      <c r="L69" s="30" t="n">
        <v>78477</v>
      </c>
    </row>
    <row r="70" customFormat="false" ht="15" hidden="false" customHeight="true" outlineLevel="0" collapsed="false">
      <c r="A70" s="8" t="n">
        <v>68</v>
      </c>
      <c r="B70" s="28" t="n">
        <v>45650</v>
      </c>
      <c r="C70" s="8" t="s">
        <v>3</v>
      </c>
      <c r="D70" s="5" t="n">
        <v>350.5</v>
      </c>
      <c r="E70" s="5" t="n">
        <v>354</v>
      </c>
      <c r="F70" s="5" t="n">
        <v>350</v>
      </c>
      <c r="G70" s="5" t="n">
        <v>352</v>
      </c>
      <c r="H70" s="5" t="n">
        <v>350.5</v>
      </c>
      <c r="I70" s="5" t="n">
        <v>352.8</v>
      </c>
      <c r="K70" s="29" t="n">
        <v>18.342</v>
      </c>
      <c r="L70" s="30" t="n">
        <v>52330</v>
      </c>
    </row>
    <row r="71" customFormat="false" ht="15" hidden="false" customHeight="true" outlineLevel="0" collapsed="false">
      <c r="A71" s="8" t="n">
        <v>69</v>
      </c>
      <c r="B71" s="28" t="n">
        <v>45649</v>
      </c>
      <c r="C71" s="8" t="s">
        <v>3</v>
      </c>
      <c r="D71" s="5" t="n">
        <v>352.8</v>
      </c>
      <c r="E71" s="5" t="n">
        <v>356.4</v>
      </c>
      <c r="F71" s="5" t="n">
        <v>349.9</v>
      </c>
      <c r="G71" s="5" t="n">
        <v>352</v>
      </c>
      <c r="H71" s="5" t="n">
        <v>352.8</v>
      </c>
      <c r="I71" s="5" t="n">
        <v>349</v>
      </c>
      <c r="K71" s="29" t="n">
        <v>34.152</v>
      </c>
      <c r="L71" s="30" t="n">
        <v>96804</v>
      </c>
    </row>
    <row r="72" customFormat="false" ht="15" hidden="false" customHeight="true" outlineLevel="0" collapsed="false">
      <c r="A72" s="8" t="n">
        <v>70</v>
      </c>
      <c r="B72" s="28" t="n">
        <v>45648</v>
      </c>
      <c r="C72" s="8" t="s">
        <v>3</v>
      </c>
      <c r="D72" s="5" t="n">
        <v>349</v>
      </c>
      <c r="E72" s="5" t="n">
        <v>350.9</v>
      </c>
      <c r="F72" s="5" t="n">
        <v>345</v>
      </c>
      <c r="G72" s="5" t="n">
        <v>350.9</v>
      </c>
      <c r="H72" s="5" t="n">
        <v>349</v>
      </c>
      <c r="I72" s="5" t="n">
        <v>346.7</v>
      </c>
      <c r="K72" s="29" t="n">
        <v>19.543</v>
      </c>
      <c r="L72" s="30" t="n">
        <v>55996</v>
      </c>
    </row>
    <row r="73" customFormat="false" ht="15" hidden="false" customHeight="true" outlineLevel="0" collapsed="false">
      <c r="A73" s="8" t="n">
        <v>71</v>
      </c>
      <c r="B73" s="28" t="n">
        <v>45645</v>
      </c>
      <c r="C73" s="8" t="s">
        <v>3</v>
      </c>
      <c r="D73" s="5" t="n">
        <v>346.7</v>
      </c>
      <c r="E73" s="5" t="n">
        <v>347.9</v>
      </c>
      <c r="F73" s="5" t="n">
        <v>343</v>
      </c>
      <c r="G73" s="5" t="n">
        <v>345</v>
      </c>
      <c r="H73" s="5" t="n">
        <v>346.7</v>
      </c>
      <c r="I73" s="5" t="n">
        <v>344.9</v>
      </c>
      <c r="K73" s="29" t="n">
        <v>16.071</v>
      </c>
      <c r="L73" s="30" t="n">
        <v>46355</v>
      </c>
    </row>
    <row r="74" customFormat="false" ht="15" hidden="false" customHeight="true" outlineLevel="0" collapsed="false">
      <c r="A74" s="8" t="n">
        <v>72</v>
      </c>
      <c r="B74" s="28" t="n">
        <v>45644</v>
      </c>
      <c r="C74" s="8" t="s">
        <v>3</v>
      </c>
      <c r="D74" s="5" t="n">
        <v>344.9</v>
      </c>
      <c r="E74" s="5" t="n">
        <v>349.6</v>
      </c>
      <c r="F74" s="5" t="n">
        <v>343.1</v>
      </c>
      <c r="G74" s="5" t="n">
        <v>349.6</v>
      </c>
      <c r="H74" s="5" t="n">
        <v>344.9</v>
      </c>
      <c r="I74" s="5" t="n">
        <v>346.6</v>
      </c>
      <c r="K74" s="29" t="n">
        <v>45.343</v>
      </c>
      <c r="L74" s="30" t="n">
        <v>131466</v>
      </c>
    </row>
    <row r="75" customFormat="false" ht="15" hidden="false" customHeight="true" outlineLevel="0" collapsed="false">
      <c r="A75" s="8" t="n">
        <v>73</v>
      </c>
      <c r="B75" s="28" t="n">
        <v>45643</v>
      </c>
      <c r="C75" s="8" t="s">
        <v>3</v>
      </c>
      <c r="D75" s="5" t="n">
        <v>346.6</v>
      </c>
      <c r="E75" s="5" t="n">
        <v>349.7</v>
      </c>
      <c r="F75" s="5" t="n">
        <v>345.6</v>
      </c>
      <c r="G75" s="5" t="n">
        <v>349.7</v>
      </c>
      <c r="H75" s="5" t="n">
        <v>346.6</v>
      </c>
      <c r="I75" s="5" t="n">
        <v>345.7</v>
      </c>
      <c r="K75" s="29" t="n">
        <v>40.073</v>
      </c>
      <c r="L75" s="30" t="n">
        <v>115617</v>
      </c>
    </row>
    <row r="76" customFormat="false" ht="15" hidden="false" customHeight="true" outlineLevel="0" collapsed="false">
      <c r="A76" s="8" t="n">
        <v>74</v>
      </c>
      <c r="B76" s="28" t="n">
        <v>45641</v>
      </c>
      <c r="C76" s="8" t="s">
        <v>3</v>
      </c>
      <c r="D76" s="5" t="n">
        <v>345.7</v>
      </c>
      <c r="E76" s="5" t="n">
        <v>346.6</v>
      </c>
      <c r="F76" s="5" t="n">
        <v>341.4</v>
      </c>
      <c r="G76" s="5" t="n">
        <v>341.6</v>
      </c>
      <c r="H76" s="5" t="n">
        <v>345.7</v>
      </c>
      <c r="I76" s="5" t="n">
        <v>341.2</v>
      </c>
      <c r="K76" s="29" t="n">
        <v>15.454</v>
      </c>
      <c r="L76" s="30" t="n">
        <v>44704</v>
      </c>
    </row>
    <row r="77" customFormat="false" ht="15" hidden="false" customHeight="true" outlineLevel="0" collapsed="false">
      <c r="A77" s="8" t="n">
        <v>75</v>
      </c>
      <c r="B77" s="28" t="n">
        <v>45638</v>
      </c>
      <c r="C77" s="8" t="s">
        <v>3</v>
      </c>
      <c r="D77" s="5" t="n">
        <v>341.2</v>
      </c>
      <c r="E77" s="5" t="n">
        <v>345</v>
      </c>
      <c r="F77" s="5" t="n">
        <v>340.9</v>
      </c>
      <c r="G77" s="5" t="n">
        <v>344</v>
      </c>
      <c r="H77" s="5" t="n">
        <v>341.2</v>
      </c>
      <c r="I77" s="5" t="n">
        <v>344</v>
      </c>
      <c r="K77" s="29" t="n">
        <v>25.79</v>
      </c>
      <c r="L77" s="30" t="n">
        <v>75587</v>
      </c>
    </row>
    <row r="78" customFormat="false" ht="15" hidden="false" customHeight="true" outlineLevel="0" collapsed="false">
      <c r="A78" s="8" t="n">
        <v>76</v>
      </c>
      <c r="B78" s="28" t="n">
        <v>45637</v>
      </c>
      <c r="C78" s="8" t="s">
        <v>3</v>
      </c>
      <c r="D78" s="5" t="n">
        <v>344</v>
      </c>
      <c r="E78" s="5" t="n">
        <v>346.2</v>
      </c>
      <c r="F78" s="5" t="n">
        <v>343.5</v>
      </c>
      <c r="G78" s="5" t="n">
        <v>345.8</v>
      </c>
      <c r="H78" s="5" t="n">
        <v>344</v>
      </c>
      <c r="I78" s="5" t="n">
        <v>345.8</v>
      </c>
      <c r="K78" s="29" t="n">
        <v>19.05</v>
      </c>
      <c r="L78" s="30" t="n">
        <v>55377</v>
      </c>
    </row>
    <row r="79" customFormat="false" ht="15" hidden="false" customHeight="true" outlineLevel="0" collapsed="false">
      <c r="A79" s="8" t="n">
        <v>77</v>
      </c>
      <c r="B79" s="28" t="n">
        <v>45636</v>
      </c>
      <c r="C79" s="8" t="s">
        <v>3</v>
      </c>
      <c r="D79" s="5" t="n">
        <v>345.8</v>
      </c>
      <c r="E79" s="5" t="n">
        <v>352</v>
      </c>
      <c r="F79" s="5" t="n">
        <v>344.5</v>
      </c>
      <c r="G79" s="5" t="n">
        <v>352</v>
      </c>
      <c r="H79" s="5" t="n">
        <v>345.8</v>
      </c>
      <c r="I79" s="5" t="n">
        <v>349.1</v>
      </c>
      <c r="K79" s="29" t="n">
        <v>27.986</v>
      </c>
      <c r="L79" s="30" t="n">
        <v>80931</v>
      </c>
    </row>
    <row r="80" customFormat="false" ht="15" hidden="false" customHeight="true" outlineLevel="0" collapsed="false">
      <c r="A80" s="8" t="n">
        <v>78</v>
      </c>
      <c r="B80" s="28" t="n">
        <v>45635</v>
      </c>
      <c r="C80" s="8" t="s">
        <v>3</v>
      </c>
      <c r="D80" s="5" t="n">
        <v>349.1</v>
      </c>
      <c r="E80" s="5" t="n">
        <v>353.9</v>
      </c>
      <c r="F80" s="5" t="n">
        <v>348.1</v>
      </c>
      <c r="G80" s="5" t="n">
        <v>350.8</v>
      </c>
      <c r="H80" s="5" t="n">
        <v>349.1</v>
      </c>
      <c r="I80" s="5" t="n">
        <v>350.8</v>
      </c>
      <c r="K80" s="29" t="n">
        <v>18.55</v>
      </c>
      <c r="L80" s="30" t="n">
        <v>53138</v>
      </c>
    </row>
    <row r="81" customFormat="false" ht="15" hidden="false" customHeight="true" outlineLevel="0" collapsed="false">
      <c r="A81" s="8" t="n">
        <v>79</v>
      </c>
      <c r="B81" s="28" t="n">
        <v>45634</v>
      </c>
      <c r="C81" s="8" t="s">
        <v>3</v>
      </c>
      <c r="D81" s="5" t="n">
        <v>350.8</v>
      </c>
      <c r="E81" s="5" t="n">
        <v>353.7</v>
      </c>
      <c r="F81" s="5" t="n">
        <v>349</v>
      </c>
      <c r="G81" s="5" t="n">
        <v>350.8</v>
      </c>
      <c r="H81" s="5" t="n">
        <v>350.8</v>
      </c>
      <c r="I81" s="5" t="n">
        <v>352.4</v>
      </c>
      <c r="K81" s="29" t="n">
        <v>17.376</v>
      </c>
      <c r="L81" s="30" t="n">
        <v>49533</v>
      </c>
    </row>
    <row r="82" customFormat="false" ht="15" hidden="false" customHeight="true" outlineLevel="0" collapsed="false">
      <c r="A82" s="8" t="n">
        <v>80</v>
      </c>
      <c r="B82" s="28" t="n">
        <v>45631</v>
      </c>
      <c r="C82" s="8" t="s">
        <v>3</v>
      </c>
      <c r="D82" s="5" t="n">
        <v>352.4</v>
      </c>
      <c r="E82" s="5" t="n">
        <v>356</v>
      </c>
      <c r="F82" s="5" t="n">
        <v>352.1</v>
      </c>
      <c r="G82" s="5" t="n">
        <v>355.9</v>
      </c>
      <c r="H82" s="5" t="n">
        <v>352.4</v>
      </c>
      <c r="I82" s="5" t="n">
        <v>355.2</v>
      </c>
      <c r="K82" s="29" t="n">
        <v>18.68</v>
      </c>
      <c r="L82" s="30" t="n">
        <v>53008</v>
      </c>
    </row>
    <row r="83" customFormat="false" ht="15" hidden="false" customHeight="true" outlineLevel="0" collapsed="false">
      <c r="A83" s="8" t="n">
        <v>81</v>
      </c>
      <c r="B83" s="28" t="n">
        <v>45630</v>
      </c>
      <c r="C83" s="8" t="s">
        <v>3</v>
      </c>
      <c r="D83" s="5" t="n">
        <v>355.2</v>
      </c>
      <c r="E83" s="5" t="n">
        <v>356.7</v>
      </c>
      <c r="F83" s="5" t="n">
        <v>352.5</v>
      </c>
      <c r="G83" s="5" t="n">
        <v>353</v>
      </c>
      <c r="H83" s="5" t="n">
        <v>355.2</v>
      </c>
      <c r="I83" s="5" t="n">
        <v>352.6</v>
      </c>
      <c r="K83" s="29" t="n">
        <v>38.332</v>
      </c>
      <c r="L83" s="30" t="n">
        <v>107916</v>
      </c>
    </row>
    <row r="84" customFormat="false" ht="15" hidden="false" customHeight="true" outlineLevel="0" collapsed="false">
      <c r="A84" s="8" t="n">
        <v>82</v>
      </c>
      <c r="B84" s="28" t="n">
        <v>45629</v>
      </c>
      <c r="C84" s="8" t="s">
        <v>3</v>
      </c>
      <c r="D84" s="5" t="n">
        <v>352.6</v>
      </c>
      <c r="E84" s="5" t="n">
        <v>354.6</v>
      </c>
      <c r="F84" s="5" t="n">
        <v>352</v>
      </c>
      <c r="G84" s="5" t="n">
        <v>354</v>
      </c>
      <c r="H84" s="5" t="n">
        <v>352.6</v>
      </c>
      <c r="I84" s="5" t="n">
        <v>353.2</v>
      </c>
      <c r="K84" s="29" t="n">
        <v>20.91</v>
      </c>
      <c r="L84" s="30" t="n">
        <v>59301</v>
      </c>
    </row>
    <row r="85" customFormat="false" ht="15" hidden="false" customHeight="true" outlineLevel="0" collapsed="false">
      <c r="A85" s="8" t="n">
        <v>83</v>
      </c>
      <c r="B85" s="28" t="n">
        <v>45628</v>
      </c>
      <c r="C85" s="8" t="s">
        <v>3</v>
      </c>
      <c r="D85" s="5" t="n">
        <v>353.2</v>
      </c>
      <c r="E85" s="5" t="n">
        <v>354.9</v>
      </c>
      <c r="F85" s="5" t="n">
        <v>352.5</v>
      </c>
      <c r="G85" s="5" t="n">
        <v>352.6</v>
      </c>
      <c r="H85" s="5" t="n">
        <v>353.2</v>
      </c>
      <c r="I85" s="5" t="n">
        <v>353.6</v>
      </c>
      <c r="K85" s="29" t="n">
        <v>21.743</v>
      </c>
      <c r="L85" s="30" t="n">
        <v>61559</v>
      </c>
    </row>
    <row r="86" customFormat="false" ht="15" hidden="false" customHeight="true" outlineLevel="0" collapsed="false">
      <c r="A86" s="8" t="n">
        <v>84</v>
      </c>
      <c r="B86" s="28" t="n">
        <v>45627</v>
      </c>
      <c r="C86" s="8" t="s">
        <v>3</v>
      </c>
      <c r="D86" s="5" t="n">
        <v>353.6</v>
      </c>
      <c r="E86" s="5" t="n">
        <v>355.6</v>
      </c>
      <c r="F86" s="5" t="n">
        <v>352</v>
      </c>
      <c r="G86" s="5" t="n">
        <v>355</v>
      </c>
      <c r="H86" s="5" t="n">
        <v>353.6</v>
      </c>
      <c r="I86" s="5" t="n">
        <v>354.2</v>
      </c>
      <c r="K86" s="29" t="n">
        <v>21.238</v>
      </c>
      <c r="L86" s="30" t="n">
        <v>60063</v>
      </c>
    </row>
    <row r="87" customFormat="false" ht="15" hidden="false" customHeight="true" outlineLevel="0" collapsed="false">
      <c r="A87" s="8" t="n">
        <v>85</v>
      </c>
      <c r="B87" s="28" t="n">
        <v>45624</v>
      </c>
      <c r="C87" s="8" t="s">
        <v>3</v>
      </c>
      <c r="D87" s="5" t="n">
        <v>354.2</v>
      </c>
      <c r="E87" s="5" t="n">
        <v>359.9</v>
      </c>
      <c r="F87" s="5" t="n">
        <v>352.8</v>
      </c>
      <c r="G87" s="5" t="n">
        <v>354.8</v>
      </c>
      <c r="H87" s="5" t="n">
        <v>354.2</v>
      </c>
      <c r="I87" s="5" t="n">
        <v>354.5</v>
      </c>
      <c r="K87" s="29" t="n">
        <v>24.964</v>
      </c>
      <c r="L87" s="30" t="n">
        <v>70480</v>
      </c>
    </row>
    <row r="88" customFormat="false" ht="15" hidden="false" customHeight="true" outlineLevel="0" collapsed="false">
      <c r="A88" s="8" t="n">
        <v>86</v>
      </c>
      <c r="B88" s="28" t="n">
        <v>45623</v>
      </c>
      <c r="C88" s="8" t="s">
        <v>3</v>
      </c>
      <c r="D88" s="5" t="n">
        <v>354.5</v>
      </c>
      <c r="E88" s="5" t="n">
        <v>357.4</v>
      </c>
      <c r="F88" s="5" t="n">
        <v>349.8</v>
      </c>
      <c r="G88" s="5" t="n">
        <v>353.4</v>
      </c>
      <c r="H88" s="5" t="n">
        <v>354.5</v>
      </c>
      <c r="I88" s="5" t="n">
        <v>352.1</v>
      </c>
      <c r="K88" s="29" t="n">
        <v>42.473</v>
      </c>
      <c r="L88" s="30" t="n">
        <v>119810</v>
      </c>
    </row>
    <row r="89" customFormat="false" ht="15" hidden="false" customHeight="true" outlineLevel="0" collapsed="false">
      <c r="A89" s="8" t="n">
        <v>87</v>
      </c>
      <c r="B89" s="28" t="n">
        <v>45622</v>
      </c>
      <c r="C89" s="8" t="s">
        <v>3</v>
      </c>
      <c r="D89" s="5" t="n">
        <v>352.1</v>
      </c>
      <c r="E89" s="5" t="n">
        <v>362</v>
      </c>
      <c r="F89" s="5" t="n">
        <v>351.1</v>
      </c>
      <c r="G89" s="5" t="n">
        <v>362</v>
      </c>
      <c r="H89" s="5" t="n">
        <v>352.1</v>
      </c>
      <c r="I89" s="5" t="n">
        <v>356.8</v>
      </c>
      <c r="K89" s="29" t="n">
        <v>24.897</v>
      </c>
      <c r="L89" s="30" t="n">
        <v>70711</v>
      </c>
    </row>
    <row r="90" customFormat="false" ht="15" hidden="false" customHeight="true" outlineLevel="0" collapsed="false">
      <c r="A90" s="8" t="n">
        <v>88</v>
      </c>
      <c r="B90" s="28" t="n">
        <v>45621</v>
      </c>
      <c r="C90" s="8" t="s">
        <v>3</v>
      </c>
      <c r="D90" s="5" t="n">
        <v>356.8</v>
      </c>
      <c r="E90" s="5" t="n">
        <v>359.3</v>
      </c>
      <c r="F90" s="5" t="n">
        <v>352.5</v>
      </c>
      <c r="G90" s="5" t="n">
        <v>354.7</v>
      </c>
      <c r="H90" s="5" t="n">
        <v>356.8</v>
      </c>
      <c r="I90" s="5" t="n">
        <v>355.2</v>
      </c>
      <c r="K90" s="29" t="n">
        <v>11.98</v>
      </c>
      <c r="L90" s="30" t="n">
        <v>33577</v>
      </c>
    </row>
    <row r="91" customFormat="false" ht="15" hidden="false" customHeight="true" outlineLevel="0" collapsed="false">
      <c r="A91" s="8" t="n">
        <v>89</v>
      </c>
      <c r="B91" s="28" t="n">
        <v>45620</v>
      </c>
      <c r="C91" s="8" t="s">
        <v>3</v>
      </c>
      <c r="D91" s="5" t="n">
        <v>355.2</v>
      </c>
      <c r="E91" s="5" t="n">
        <v>360</v>
      </c>
      <c r="F91" s="5" t="n">
        <v>354.3</v>
      </c>
      <c r="G91" s="5" t="n">
        <v>360</v>
      </c>
      <c r="H91" s="5" t="n">
        <v>355.2</v>
      </c>
      <c r="I91" s="5" t="n">
        <v>360</v>
      </c>
      <c r="K91" s="29" t="n">
        <v>18.17</v>
      </c>
      <c r="L91" s="30" t="n">
        <v>51153</v>
      </c>
    </row>
    <row r="92" customFormat="false" ht="15" hidden="false" customHeight="true" outlineLevel="0" collapsed="false">
      <c r="A92" s="8" t="n">
        <v>90</v>
      </c>
      <c r="B92" s="28" t="n">
        <v>45617</v>
      </c>
      <c r="C92" s="8" t="s">
        <v>3</v>
      </c>
      <c r="D92" s="5" t="n">
        <v>360</v>
      </c>
      <c r="E92" s="5" t="n">
        <v>367.5</v>
      </c>
      <c r="F92" s="5" t="n">
        <v>358.5</v>
      </c>
      <c r="G92" s="5" t="n">
        <v>367.5</v>
      </c>
      <c r="H92" s="5" t="n">
        <v>360</v>
      </c>
      <c r="I92" s="5" t="n">
        <v>363.8</v>
      </c>
      <c r="K92" s="29" t="n">
        <v>32.809</v>
      </c>
      <c r="L92" s="30" t="n">
        <v>91135</v>
      </c>
    </row>
    <row r="93" customFormat="false" ht="15" hidden="false" customHeight="true" outlineLevel="0" collapsed="false">
      <c r="A93" s="8" t="n">
        <v>91</v>
      </c>
      <c r="B93" s="28" t="n">
        <v>45616</v>
      </c>
      <c r="C93" s="8" t="s">
        <v>3</v>
      </c>
      <c r="D93" s="5" t="n">
        <v>363.8</v>
      </c>
      <c r="E93" s="5" t="n">
        <v>370</v>
      </c>
      <c r="F93" s="5" t="n">
        <v>360.1</v>
      </c>
      <c r="G93" s="5" t="n">
        <v>370</v>
      </c>
      <c r="H93" s="5" t="n">
        <v>363.8</v>
      </c>
      <c r="I93" s="5" t="n">
        <v>377.5</v>
      </c>
      <c r="K93" s="29" t="n">
        <v>39.261</v>
      </c>
      <c r="L93" s="30" t="n">
        <v>107918</v>
      </c>
    </row>
    <row r="94" customFormat="false" ht="15" hidden="false" customHeight="true" outlineLevel="0" collapsed="false">
      <c r="A94" s="8" t="n">
        <v>92</v>
      </c>
      <c r="B94" s="28" t="n">
        <v>45615</v>
      </c>
      <c r="C94" s="8" t="s">
        <v>3</v>
      </c>
      <c r="D94" s="5" t="n">
        <v>377.5</v>
      </c>
      <c r="E94" s="5" t="n">
        <v>377.5</v>
      </c>
      <c r="F94" s="5" t="n">
        <v>377.5</v>
      </c>
      <c r="G94" s="5" t="n">
        <v>377.5</v>
      </c>
      <c r="H94" s="5" t="n">
        <v>377.5</v>
      </c>
      <c r="I94" s="5" t="n">
        <v>377.5</v>
      </c>
      <c r="K94" s="29" t="n">
        <v>0</v>
      </c>
      <c r="L94" s="30" t="n">
        <v>0</v>
      </c>
    </row>
    <row r="95" customFormat="false" ht="15" hidden="false" customHeight="true" outlineLevel="0" collapsed="false">
      <c r="A95" s="8" t="n">
        <v>93</v>
      </c>
      <c r="B95" s="28" t="n">
        <v>45614</v>
      </c>
      <c r="C95" s="8" t="s">
        <v>3</v>
      </c>
      <c r="D95" s="5" t="n">
        <v>377.5</v>
      </c>
      <c r="E95" s="5" t="n">
        <v>380.5</v>
      </c>
      <c r="F95" s="5" t="n">
        <v>377</v>
      </c>
      <c r="G95" s="5" t="n">
        <v>380</v>
      </c>
      <c r="H95" s="5" t="n">
        <v>377.5</v>
      </c>
      <c r="I95" s="5" t="n">
        <v>378.6</v>
      </c>
      <c r="K95" s="29" t="n">
        <v>51.835</v>
      </c>
      <c r="L95" s="30" t="n">
        <v>137310</v>
      </c>
    </row>
    <row r="96" customFormat="false" ht="15" hidden="false" customHeight="true" outlineLevel="0" collapsed="false">
      <c r="A96" s="8" t="n">
        <v>94</v>
      </c>
      <c r="B96" s="28" t="n">
        <v>45613</v>
      </c>
      <c r="C96" s="8" t="s">
        <v>3</v>
      </c>
      <c r="D96" s="5" t="n">
        <v>378.6</v>
      </c>
      <c r="E96" s="5" t="n">
        <v>380</v>
      </c>
      <c r="F96" s="5" t="n">
        <v>376.2</v>
      </c>
      <c r="G96" s="5" t="n">
        <v>379.2</v>
      </c>
      <c r="H96" s="5" t="n">
        <v>378.6</v>
      </c>
      <c r="I96" s="5" t="n">
        <v>376.2</v>
      </c>
      <c r="K96" s="29" t="n">
        <v>30.776</v>
      </c>
      <c r="L96" s="30" t="n">
        <v>81289</v>
      </c>
    </row>
    <row r="97" customFormat="false" ht="15" hidden="false" customHeight="true" outlineLevel="0" collapsed="false">
      <c r="A97" s="8" t="n">
        <v>95</v>
      </c>
      <c r="B97" s="28" t="n">
        <v>45610</v>
      </c>
      <c r="C97" s="8" t="s">
        <v>3</v>
      </c>
      <c r="D97" s="5" t="n">
        <v>376.2</v>
      </c>
      <c r="E97" s="5" t="n">
        <v>379.2</v>
      </c>
      <c r="F97" s="5" t="n">
        <v>374.5</v>
      </c>
      <c r="G97" s="5" t="n">
        <v>376.1</v>
      </c>
      <c r="H97" s="5" t="n">
        <v>376.2</v>
      </c>
      <c r="I97" s="5" t="n">
        <v>373.2</v>
      </c>
      <c r="K97" s="29" t="n">
        <v>38.445</v>
      </c>
      <c r="L97" s="30" t="n">
        <v>102193</v>
      </c>
    </row>
    <row r="98" customFormat="false" ht="15" hidden="false" customHeight="true" outlineLevel="0" collapsed="false">
      <c r="A98" s="8" t="n">
        <v>96</v>
      </c>
      <c r="B98" s="28" t="n">
        <v>45609</v>
      </c>
      <c r="C98" s="8" t="s">
        <v>3</v>
      </c>
      <c r="D98" s="5" t="n">
        <v>373.2</v>
      </c>
      <c r="E98" s="5" t="n">
        <v>383</v>
      </c>
      <c r="F98" s="5" t="n">
        <v>370.3</v>
      </c>
      <c r="G98" s="5" t="n">
        <v>378.5</v>
      </c>
      <c r="H98" s="5" t="n">
        <v>373.2</v>
      </c>
      <c r="I98" s="5" t="n">
        <v>378.5</v>
      </c>
      <c r="K98" s="29" t="n">
        <v>57.855</v>
      </c>
      <c r="L98" s="30" t="n">
        <v>155023</v>
      </c>
    </row>
    <row r="99" customFormat="false" ht="15" hidden="false" customHeight="true" outlineLevel="0" collapsed="false">
      <c r="A99" s="8" t="n">
        <v>97</v>
      </c>
      <c r="B99" s="28" t="n">
        <v>45608</v>
      </c>
      <c r="C99" s="8" t="s">
        <v>3</v>
      </c>
      <c r="D99" s="5" t="n">
        <v>378.5</v>
      </c>
      <c r="E99" s="5" t="n">
        <v>382.5</v>
      </c>
      <c r="F99" s="5" t="n">
        <v>375.1</v>
      </c>
      <c r="G99" s="5" t="n">
        <v>375.1</v>
      </c>
      <c r="H99" s="5" t="n">
        <v>378.5</v>
      </c>
      <c r="I99" s="5" t="n">
        <v>375.1</v>
      </c>
      <c r="K99" s="29" t="n">
        <v>44.27</v>
      </c>
      <c r="L99" s="30" t="n">
        <v>116963</v>
      </c>
    </row>
    <row r="100" customFormat="false" ht="15" hidden="false" customHeight="true" outlineLevel="0" collapsed="false">
      <c r="A100" s="8" t="n">
        <v>98</v>
      </c>
      <c r="B100" s="28" t="n">
        <v>45607</v>
      </c>
      <c r="C100" s="8" t="s">
        <v>3</v>
      </c>
      <c r="D100" s="5" t="n">
        <v>375.1</v>
      </c>
      <c r="E100" s="5" t="n">
        <v>376.2</v>
      </c>
      <c r="F100" s="5" t="n">
        <v>369.4</v>
      </c>
      <c r="G100" s="5" t="n">
        <v>369.5</v>
      </c>
      <c r="H100" s="5" t="n">
        <v>375.1</v>
      </c>
      <c r="I100" s="5" t="n">
        <v>369.5</v>
      </c>
      <c r="K100" s="29" t="n">
        <v>39.259</v>
      </c>
      <c r="L100" s="30" t="n">
        <v>104662</v>
      </c>
    </row>
    <row r="101" customFormat="false" ht="15" hidden="false" customHeight="true" outlineLevel="0" collapsed="false">
      <c r="A101" s="8" t="n">
        <v>99</v>
      </c>
      <c r="B101" s="28" t="n">
        <v>45606</v>
      </c>
      <c r="C101" s="8" t="s">
        <v>3</v>
      </c>
      <c r="D101" s="5" t="n">
        <v>369.5</v>
      </c>
      <c r="E101" s="5" t="n">
        <v>372.8</v>
      </c>
      <c r="F101" s="5" t="n">
        <v>369</v>
      </c>
      <c r="G101" s="5" t="n">
        <v>370</v>
      </c>
      <c r="H101" s="5" t="n">
        <v>369.5</v>
      </c>
      <c r="I101" s="5" t="n">
        <v>369.9</v>
      </c>
      <c r="K101" s="29" t="n">
        <v>30.229</v>
      </c>
      <c r="L101" s="30" t="n">
        <v>81810</v>
      </c>
    </row>
    <row r="102" customFormat="false" ht="15" hidden="false" customHeight="true" outlineLevel="0" collapsed="false">
      <c r="A102" s="8" t="n">
        <v>100</v>
      </c>
      <c r="B102" s="28" t="n">
        <v>45603</v>
      </c>
      <c r="C102" s="8" t="s">
        <v>3</v>
      </c>
      <c r="D102" s="5" t="n">
        <v>369.9</v>
      </c>
      <c r="E102" s="5" t="n">
        <v>371.8</v>
      </c>
      <c r="F102" s="5" t="n">
        <v>367.9</v>
      </c>
      <c r="G102" s="5" t="n">
        <v>371.6</v>
      </c>
      <c r="H102" s="5" t="n">
        <v>369.9</v>
      </c>
      <c r="I102" s="5" t="n">
        <v>369.6</v>
      </c>
      <c r="K102" s="29" t="n">
        <v>26.47</v>
      </c>
      <c r="L102" s="30" t="n">
        <v>71561</v>
      </c>
    </row>
    <row r="103" customFormat="false" ht="15" hidden="false" customHeight="true" outlineLevel="0" collapsed="false">
      <c r="A103" s="8" t="n">
        <v>101</v>
      </c>
      <c r="B103" s="28" t="n">
        <v>45602</v>
      </c>
      <c r="C103" s="8" t="s">
        <v>3</v>
      </c>
      <c r="D103" s="5" t="n">
        <v>369.6</v>
      </c>
      <c r="E103" s="5" t="n">
        <v>371.9</v>
      </c>
      <c r="F103" s="5" t="n">
        <v>368</v>
      </c>
      <c r="G103" s="5" t="n">
        <v>371.9</v>
      </c>
      <c r="H103" s="5" t="n">
        <v>369.6</v>
      </c>
      <c r="I103" s="5" t="n">
        <v>370.1</v>
      </c>
      <c r="K103" s="29" t="n">
        <v>26.515</v>
      </c>
      <c r="L103" s="30" t="n">
        <v>71740</v>
      </c>
    </row>
    <row r="104" customFormat="false" ht="15" hidden="false" customHeight="true" outlineLevel="0" collapsed="false">
      <c r="A104" s="8" t="n">
        <v>102</v>
      </c>
      <c r="B104" s="28" t="n">
        <v>45601</v>
      </c>
      <c r="C104" s="8" t="s">
        <v>3</v>
      </c>
      <c r="D104" s="5" t="n">
        <v>370.1</v>
      </c>
      <c r="E104" s="5" t="n">
        <v>376.9</v>
      </c>
      <c r="F104" s="5" t="n">
        <v>369</v>
      </c>
      <c r="G104" s="5" t="n">
        <v>373.1</v>
      </c>
      <c r="H104" s="5" t="n">
        <v>370.1</v>
      </c>
      <c r="I104" s="5" t="n">
        <v>371.9</v>
      </c>
      <c r="K104" s="29" t="n">
        <v>58.471</v>
      </c>
      <c r="L104" s="30" t="n">
        <v>157986</v>
      </c>
    </row>
    <row r="105" customFormat="false" ht="15" hidden="false" customHeight="true" outlineLevel="0" collapsed="false">
      <c r="A105" s="8" t="n">
        <v>103</v>
      </c>
      <c r="B105" s="28" t="n">
        <v>45600</v>
      </c>
      <c r="C105" s="8" t="s">
        <v>3</v>
      </c>
      <c r="D105" s="5" t="n">
        <v>371.9</v>
      </c>
      <c r="E105" s="5" t="n">
        <v>373</v>
      </c>
      <c r="F105" s="5" t="n">
        <v>361.2</v>
      </c>
      <c r="G105" s="5" t="n">
        <v>367</v>
      </c>
      <c r="H105" s="5" t="n">
        <v>371.9</v>
      </c>
      <c r="I105" s="5" t="n">
        <v>365.6</v>
      </c>
      <c r="K105" s="29" t="n">
        <v>31.271</v>
      </c>
      <c r="L105" s="30" t="n">
        <v>84085</v>
      </c>
    </row>
    <row r="106" customFormat="false" ht="15" hidden="false" customHeight="true" outlineLevel="0" collapsed="false">
      <c r="A106" s="8" t="n">
        <v>104</v>
      </c>
      <c r="B106" s="28" t="n">
        <v>45599</v>
      </c>
      <c r="C106" s="8" t="s">
        <v>3</v>
      </c>
      <c r="D106" s="5" t="n">
        <v>365.6</v>
      </c>
      <c r="E106" s="5" t="n">
        <v>375</v>
      </c>
      <c r="F106" s="5" t="n">
        <v>364.1</v>
      </c>
      <c r="G106" s="5" t="n">
        <v>375</v>
      </c>
      <c r="H106" s="5" t="n">
        <v>365.6</v>
      </c>
      <c r="I106" s="5" t="n">
        <v>373.4</v>
      </c>
      <c r="K106" s="29" t="n">
        <v>47.622</v>
      </c>
      <c r="L106" s="30" t="n">
        <v>130258</v>
      </c>
    </row>
    <row r="107" customFormat="false" ht="15" hidden="false" customHeight="true" outlineLevel="0" collapsed="false">
      <c r="A107" s="8" t="n">
        <v>105</v>
      </c>
      <c r="B107" s="28" t="n">
        <v>45596</v>
      </c>
      <c r="C107" s="8" t="s">
        <v>3</v>
      </c>
      <c r="D107" s="5" t="n">
        <v>373.4</v>
      </c>
      <c r="E107" s="5" t="n">
        <v>384</v>
      </c>
      <c r="F107" s="5" t="n">
        <v>371.3</v>
      </c>
      <c r="G107" s="5" t="n">
        <v>379.9</v>
      </c>
      <c r="H107" s="5" t="n">
        <v>373.4</v>
      </c>
      <c r="I107" s="5" t="n">
        <v>375.6</v>
      </c>
      <c r="K107" s="29" t="n">
        <v>56.068</v>
      </c>
      <c r="L107" s="30" t="n">
        <v>150155</v>
      </c>
    </row>
    <row r="108" customFormat="false" ht="15" hidden="false" customHeight="true" outlineLevel="0" collapsed="false">
      <c r="A108" s="8" t="n">
        <v>106</v>
      </c>
      <c r="B108" s="28" t="n">
        <v>45595</v>
      </c>
      <c r="C108" s="8" t="s">
        <v>3</v>
      </c>
      <c r="D108" s="5" t="n">
        <v>375.6</v>
      </c>
      <c r="E108" s="5" t="n">
        <v>382.8</v>
      </c>
      <c r="F108" s="5" t="n">
        <v>349.9</v>
      </c>
      <c r="G108" s="5" t="n">
        <v>349.9</v>
      </c>
      <c r="H108" s="5" t="n">
        <v>375.6</v>
      </c>
      <c r="I108" s="5" t="n">
        <v>346.1</v>
      </c>
      <c r="K108" s="29" t="n">
        <v>121.005</v>
      </c>
      <c r="L108" s="30" t="n">
        <v>322164</v>
      </c>
    </row>
    <row r="109" customFormat="false" ht="15" hidden="false" customHeight="true" outlineLevel="0" collapsed="false">
      <c r="A109" s="8" t="n">
        <v>107</v>
      </c>
      <c r="B109" s="28" t="n">
        <v>45594</v>
      </c>
      <c r="C109" s="8" t="s">
        <v>3</v>
      </c>
      <c r="D109" s="5" t="n">
        <v>346.1</v>
      </c>
      <c r="E109" s="5" t="n">
        <v>347</v>
      </c>
      <c r="F109" s="5" t="n">
        <v>330.8</v>
      </c>
      <c r="G109" s="5" t="n">
        <v>332</v>
      </c>
      <c r="H109" s="5" t="n">
        <v>346.1</v>
      </c>
      <c r="I109" s="5" t="n">
        <v>333.3</v>
      </c>
      <c r="K109" s="29" t="n">
        <v>30.069</v>
      </c>
      <c r="L109" s="30" t="n">
        <v>86879</v>
      </c>
    </row>
    <row r="110" customFormat="false" ht="15" hidden="false" customHeight="true" outlineLevel="0" collapsed="false">
      <c r="A110" s="8" t="n">
        <v>108</v>
      </c>
      <c r="B110" s="28" t="n">
        <v>45593</v>
      </c>
      <c r="C110" s="8" t="s">
        <v>3</v>
      </c>
      <c r="D110" s="5" t="n">
        <v>333.3</v>
      </c>
      <c r="E110" s="5" t="n">
        <v>344</v>
      </c>
      <c r="F110" s="5" t="n">
        <v>331</v>
      </c>
      <c r="G110" s="5" t="n">
        <v>342.2</v>
      </c>
      <c r="H110" s="5" t="n">
        <v>333.3</v>
      </c>
      <c r="I110" s="5" t="n">
        <v>342.2</v>
      </c>
      <c r="K110" s="29" t="n">
        <v>52.398</v>
      </c>
      <c r="L110" s="30" t="n">
        <v>157211</v>
      </c>
    </row>
    <row r="111" customFormat="false" ht="15" hidden="false" customHeight="true" outlineLevel="0" collapsed="false">
      <c r="A111" s="8" t="n">
        <v>109</v>
      </c>
      <c r="B111" s="28" t="n">
        <v>45592</v>
      </c>
      <c r="C111" s="8" t="s">
        <v>3</v>
      </c>
      <c r="D111" s="5" t="n">
        <v>342.2</v>
      </c>
      <c r="E111" s="5" t="n">
        <v>356</v>
      </c>
      <c r="F111" s="5" t="n">
        <v>341.8</v>
      </c>
      <c r="G111" s="5" t="n">
        <v>356</v>
      </c>
      <c r="H111" s="5" t="n">
        <v>342.2</v>
      </c>
      <c r="I111" s="5" t="n">
        <v>356</v>
      </c>
      <c r="K111" s="29" t="n">
        <v>37.916</v>
      </c>
      <c r="L111" s="30" t="n">
        <v>110800</v>
      </c>
    </row>
    <row r="112" customFormat="false" ht="15" hidden="false" customHeight="true" outlineLevel="0" collapsed="false">
      <c r="A112" s="8" t="n">
        <v>110</v>
      </c>
      <c r="B112" s="28" t="n">
        <v>45589</v>
      </c>
      <c r="C112" s="8" t="s">
        <v>3</v>
      </c>
      <c r="D112" s="5" t="n">
        <v>356</v>
      </c>
      <c r="E112" s="5" t="n">
        <v>362.2</v>
      </c>
      <c r="F112" s="5" t="n">
        <v>353</v>
      </c>
      <c r="G112" s="5" t="n">
        <v>360</v>
      </c>
      <c r="H112" s="5" t="n">
        <v>356</v>
      </c>
      <c r="I112" s="5" t="n">
        <v>361.8</v>
      </c>
      <c r="K112" s="29" t="n">
        <v>27.394</v>
      </c>
      <c r="L112" s="30" t="n">
        <v>76949</v>
      </c>
    </row>
    <row r="113" customFormat="false" ht="15" hidden="false" customHeight="true" outlineLevel="0" collapsed="false">
      <c r="A113" s="8" t="n">
        <v>111</v>
      </c>
      <c r="B113" s="28" t="n">
        <v>45588</v>
      </c>
      <c r="C113" s="8" t="s">
        <v>3</v>
      </c>
      <c r="D113" s="5" t="n">
        <v>361.8</v>
      </c>
      <c r="E113" s="5" t="n">
        <v>373</v>
      </c>
      <c r="F113" s="5" t="n">
        <v>360</v>
      </c>
      <c r="G113" s="5" t="n">
        <v>369.1</v>
      </c>
      <c r="H113" s="5" t="n">
        <v>361.8</v>
      </c>
      <c r="I113" s="5" t="n">
        <v>369.1</v>
      </c>
      <c r="K113" s="29" t="n">
        <v>16.578</v>
      </c>
      <c r="L113" s="30" t="n">
        <v>45822</v>
      </c>
    </row>
    <row r="114" customFormat="false" ht="15" hidden="false" customHeight="true" outlineLevel="0" collapsed="false">
      <c r="A114" s="8" t="n">
        <v>112</v>
      </c>
      <c r="B114" s="28" t="n">
        <v>45587</v>
      </c>
      <c r="C114" s="8" t="s">
        <v>3</v>
      </c>
      <c r="D114" s="5" t="n">
        <v>369.1</v>
      </c>
      <c r="E114" s="5" t="n">
        <v>372</v>
      </c>
      <c r="F114" s="5" t="n">
        <v>366.9</v>
      </c>
      <c r="G114" s="5" t="n">
        <v>370.5</v>
      </c>
      <c r="H114" s="5" t="n">
        <v>369.1</v>
      </c>
      <c r="I114" s="5" t="n">
        <v>367.7</v>
      </c>
      <c r="K114" s="29" t="n">
        <v>15.264</v>
      </c>
      <c r="L114" s="30" t="n">
        <v>41354</v>
      </c>
    </row>
    <row r="115" customFormat="false" ht="15" hidden="false" customHeight="true" outlineLevel="0" collapsed="false">
      <c r="A115" s="8" t="n">
        <v>113</v>
      </c>
      <c r="B115" s="28" t="n">
        <v>45586</v>
      </c>
      <c r="C115" s="8" t="s">
        <v>3</v>
      </c>
      <c r="D115" s="5" t="n">
        <v>367.7</v>
      </c>
      <c r="E115" s="5" t="n">
        <v>368.8</v>
      </c>
      <c r="F115" s="5" t="n">
        <v>358.9</v>
      </c>
      <c r="G115" s="5" t="n">
        <v>366</v>
      </c>
      <c r="H115" s="5" t="n">
        <v>367.7</v>
      </c>
      <c r="I115" s="5" t="n">
        <v>365.6</v>
      </c>
      <c r="K115" s="29" t="n">
        <v>29.073</v>
      </c>
      <c r="L115" s="30" t="n">
        <v>79067</v>
      </c>
    </row>
    <row r="116" customFormat="false" ht="15" hidden="false" customHeight="true" outlineLevel="0" collapsed="false">
      <c r="A116" s="8" t="n">
        <v>114</v>
      </c>
      <c r="B116" s="28" t="n">
        <v>45585</v>
      </c>
      <c r="C116" s="8" t="s">
        <v>3</v>
      </c>
      <c r="D116" s="5" t="n">
        <v>365.6</v>
      </c>
      <c r="E116" s="5" t="n">
        <v>375.8</v>
      </c>
      <c r="F116" s="5" t="n">
        <v>364.4</v>
      </c>
      <c r="G116" s="5" t="n">
        <v>369.2</v>
      </c>
      <c r="H116" s="5" t="n">
        <v>365.6</v>
      </c>
      <c r="I116" s="5" t="n">
        <v>368.4</v>
      </c>
      <c r="K116" s="29" t="n">
        <v>25.091</v>
      </c>
      <c r="L116" s="30" t="n">
        <v>68630</v>
      </c>
    </row>
    <row r="117" customFormat="false" ht="15" hidden="false" customHeight="true" outlineLevel="0" collapsed="false">
      <c r="A117" s="8" t="n">
        <v>115</v>
      </c>
      <c r="B117" s="28" t="n">
        <v>45582</v>
      </c>
      <c r="C117" s="8" t="s">
        <v>3</v>
      </c>
      <c r="D117" s="5" t="n">
        <v>368.4</v>
      </c>
      <c r="E117" s="5" t="n">
        <v>373.6</v>
      </c>
      <c r="F117" s="5" t="n">
        <v>366</v>
      </c>
      <c r="G117" s="5" t="n">
        <v>373.6</v>
      </c>
      <c r="H117" s="5" t="n">
        <v>368.4</v>
      </c>
      <c r="I117" s="5" t="n">
        <v>372.7</v>
      </c>
      <c r="K117" s="29" t="n">
        <v>16.729</v>
      </c>
      <c r="L117" s="30" t="n">
        <v>45410</v>
      </c>
    </row>
    <row r="118" customFormat="false" ht="15" hidden="false" customHeight="true" outlineLevel="0" collapsed="false">
      <c r="A118" s="8" t="n">
        <v>116</v>
      </c>
      <c r="B118" s="28" t="n">
        <v>45581</v>
      </c>
      <c r="C118" s="8" t="s">
        <v>3</v>
      </c>
      <c r="D118" s="5" t="n">
        <v>372.7</v>
      </c>
      <c r="E118" s="5" t="n">
        <v>375</v>
      </c>
      <c r="F118" s="5" t="n">
        <v>370</v>
      </c>
      <c r="G118" s="5" t="n">
        <v>373.4</v>
      </c>
      <c r="H118" s="5" t="n">
        <v>372.7</v>
      </c>
      <c r="I118" s="5" t="n">
        <v>371.7</v>
      </c>
      <c r="K118" s="29" t="n">
        <v>17.394</v>
      </c>
      <c r="L118" s="30" t="n">
        <v>46671</v>
      </c>
    </row>
    <row r="119" customFormat="false" ht="15" hidden="false" customHeight="true" outlineLevel="0" collapsed="false">
      <c r="A119" s="8" t="n">
        <v>117</v>
      </c>
      <c r="B119" s="28" t="n">
        <v>45580</v>
      </c>
      <c r="C119" s="8" t="s">
        <v>3</v>
      </c>
      <c r="D119" s="5" t="n">
        <v>371.7</v>
      </c>
      <c r="E119" s="5" t="n">
        <v>381</v>
      </c>
      <c r="F119" s="5" t="n">
        <v>370.6</v>
      </c>
      <c r="G119" s="5" t="n">
        <v>381</v>
      </c>
      <c r="H119" s="5" t="n">
        <v>371.7</v>
      </c>
      <c r="I119" s="5" t="n">
        <v>378.3</v>
      </c>
      <c r="K119" s="29" t="n">
        <v>31.206</v>
      </c>
      <c r="L119" s="30" t="n">
        <v>83956</v>
      </c>
    </row>
    <row r="120" customFormat="false" ht="15" hidden="false" customHeight="true" outlineLevel="0" collapsed="false">
      <c r="A120" s="8" t="n">
        <v>118</v>
      </c>
      <c r="B120" s="28" t="n">
        <v>45579</v>
      </c>
      <c r="C120" s="8" t="s">
        <v>3</v>
      </c>
      <c r="D120" s="5" t="n">
        <v>378.3</v>
      </c>
      <c r="E120" s="5" t="n">
        <v>387.6</v>
      </c>
      <c r="F120" s="5" t="n">
        <v>377.5</v>
      </c>
      <c r="G120" s="5" t="n">
        <v>383.1</v>
      </c>
      <c r="H120" s="5" t="n">
        <v>378.3</v>
      </c>
      <c r="I120" s="5" t="n">
        <v>382.3</v>
      </c>
      <c r="K120" s="29" t="n">
        <v>30.831</v>
      </c>
      <c r="L120" s="30" t="n">
        <v>81498</v>
      </c>
    </row>
    <row r="121" customFormat="false" ht="15" hidden="false" customHeight="true" outlineLevel="0" collapsed="false">
      <c r="A121" s="8" t="n">
        <v>119</v>
      </c>
      <c r="B121" s="28" t="n">
        <v>45574</v>
      </c>
      <c r="C121" s="8" t="s">
        <v>3</v>
      </c>
      <c r="D121" s="5" t="n">
        <v>382.3</v>
      </c>
      <c r="E121" s="5" t="n">
        <v>385</v>
      </c>
      <c r="F121" s="5" t="n">
        <v>358.2</v>
      </c>
      <c r="G121" s="5" t="n">
        <v>358.2</v>
      </c>
      <c r="H121" s="5" t="n">
        <v>382.3</v>
      </c>
      <c r="I121" s="5" t="n">
        <v>364.6</v>
      </c>
      <c r="K121" s="29" t="n">
        <v>47.872</v>
      </c>
      <c r="L121" s="30" t="n">
        <v>125221</v>
      </c>
    </row>
    <row r="122" customFormat="false" ht="15" hidden="false" customHeight="true" outlineLevel="0" collapsed="false">
      <c r="A122" s="8" t="n">
        <v>120</v>
      </c>
      <c r="B122" s="28" t="n">
        <v>45573</v>
      </c>
      <c r="C122" s="8" t="s">
        <v>3</v>
      </c>
      <c r="D122" s="5" t="n">
        <v>364.6</v>
      </c>
      <c r="E122" s="5" t="n">
        <v>375</v>
      </c>
      <c r="F122" s="5" t="n">
        <v>363.6</v>
      </c>
      <c r="G122" s="5" t="n">
        <v>373.1</v>
      </c>
      <c r="H122" s="5" t="n">
        <v>364.6</v>
      </c>
      <c r="I122" s="5" t="n">
        <v>372.7</v>
      </c>
      <c r="K122" s="29" t="n">
        <v>52.074</v>
      </c>
      <c r="L122" s="30" t="n">
        <v>142825</v>
      </c>
    </row>
    <row r="123" customFormat="false" ht="15" hidden="false" customHeight="true" outlineLevel="0" collapsed="false">
      <c r="A123" s="8" t="n">
        <v>121</v>
      </c>
      <c r="B123" s="28" t="n">
        <v>45572</v>
      </c>
      <c r="C123" s="8" t="s">
        <v>3</v>
      </c>
      <c r="D123" s="5" t="n">
        <v>372.7</v>
      </c>
      <c r="E123" s="5" t="n">
        <v>381</v>
      </c>
      <c r="F123" s="5" t="n">
        <v>372</v>
      </c>
      <c r="G123" s="5" t="n">
        <v>379.4</v>
      </c>
      <c r="H123" s="5" t="n">
        <v>372.7</v>
      </c>
      <c r="I123" s="5" t="n">
        <v>379.3</v>
      </c>
      <c r="K123" s="29" t="n">
        <v>36.408</v>
      </c>
      <c r="L123" s="30" t="n">
        <v>97687</v>
      </c>
    </row>
    <row r="124" customFormat="false" ht="15" hidden="false" customHeight="true" outlineLevel="0" collapsed="false">
      <c r="A124" s="8" t="n">
        <v>122</v>
      </c>
      <c r="B124" s="28" t="n">
        <v>45571</v>
      </c>
      <c r="C124" s="8" t="s">
        <v>3</v>
      </c>
      <c r="D124" s="5" t="n">
        <v>379.3</v>
      </c>
      <c r="E124" s="5" t="n">
        <v>387</v>
      </c>
      <c r="F124" s="5" t="n">
        <v>378.1</v>
      </c>
      <c r="G124" s="5" t="n">
        <v>382.3</v>
      </c>
      <c r="H124" s="5" t="n">
        <v>379.3</v>
      </c>
      <c r="I124" s="5" t="n">
        <v>381.2</v>
      </c>
      <c r="K124" s="29" t="n">
        <v>36.237</v>
      </c>
      <c r="L124" s="30" t="n">
        <v>95537</v>
      </c>
    </row>
    <row r="125" customFormat="false" ht="15" hidden="false" customHeight="true" outlineLevel="0" collapsed="false">
      <c r="A125" s="8" t="n">
        <v>123</v>
      </c>
      <c r="B125" s="28" t="n">
        <v>45568</v>
      </c>
      <c r="C125" s="8" t="s">
        <v>3</v>
      </c>
      <c r="D125" s="5" t="n">
        <v>381.2</v>
      </c>
      <c r="E125" s="5" t="n">
        <v>384.8</v>
      </c>
      <c r="F125" s="5" t="n">
        <v>374.3</v>
      </c>
      <c r="G125" s="5" t="n">
        <v>381.1</v>
      </c>
      <c r="H125" s="5" t="n">
        <v>381.2</v>
      </c>
      <c r="I125" s="5" t="n">
        <v>381.1</v>
      </c>
      <c r="K125" s="29" t="n">
        <v>43.766</v>
      </c>
      <c r="L125" s="30" t="n">
        <v>114810</v>
      </c>
    </row>
    <row r="126" customFormat="false" ht="15" hidden="false" customHeight="true" outlineLevel="0" collapsed="false">
      <c r="A126" s="8" t="n">
        <v>124</v>
      </c>
      <c r="B126" s="28" t="n">
        <v>45567</v>
      </c>
      <c r="C126" s="8" t="s">
        <v>3</v>
      </c>
      <c r="D126" s="5" t="n">
        <v>381.1</v>
      </c>
      <c r="E126" s="5" t="n">
        <v>391</v>
      </c>
      <c r="F126" s="5" t="n">
        <v>380.2</v>
      </c>
      <c r="G126" s="5" t="n">
        <v>391</v>
      </c>
      <c r="H126" s="5" t="n">
        <v>381.1</v>
      </c>
      <c r="I126" s="5" t="n">
        <v>392</v>
      </c>
      <c r="K126" s="29" t="n">
        <v>71.645</v>
      </c>
      <c r="L126" s="30" t="n">
        <v>187994</v>
      </c>
    </row>
    <row r="127" customFormat="false" ht="15" hidden="false" customHeight="true" outlineLevel="0" collapsed="false">
      <c r="A127" s="8" t="n">
        <v>125</v>
      </c>
      <c r="B127" s="28" t="n">
        <v>45566</v>
      </c>
      <c r="C127" s="8" t="s">
        <v>3</v>
      </c>
      <c r="D127" s="5" t="n">
        <v>392</v>
      </c>
      <c r="E127" s="5" t="n">
        <v>396</v>
      </c>
      <c r="F127" s="5" t="n">
        <v>391.5</v>
      </c>
      <c r="G127" s="5" t="n">
        <v>394.5</v>
      </c>
      <c r="H127" s="5" t="n">
        <v>392</v>
      </c>
      <c r="I127" s="5" t="n">
        <v>394.1</v>
      </c>
      <c r="K127" s="29" t="n">
        <v>40.789</v>
      </c>
      <c r="L127" s="30" t="n">
        <v>104053</v>
      </c>
    </row>
    <row r="128" customFormat="false" ht="15" hidden="false" customHeight="true" outlineLevel="0" collapsed="false">
      <c r="A128" s="8" t="n">
        <v>126</v>
      </c>
      <c r="B128" s="28" t="n">
        <v>45565</v>
      </c>
      <c r="C128" s="8" t="s">
        <v>3</v>
      </c>
      <c r="D128" s="5" t="n">
        <v>394.1</v>
      </c>
      <c r="E128" s="5" t="n">
        <v>400</v>
      </c>
      <c r="F128" s="5" t="n">
        <v>393.1</v>
      </c>
      <c r="G128" s="5" t="n">
        <v>395.9</v>
      </c>
      <c r="H128" s="5" t="n">
        <v>394.1</v>
      </c>
      <c r="I128" s="5" t="n">
        <v>397</v>
      </c>
      <c r="K128" s="29" t="n">
        <v>49.623</v>
      </c>
      <c r="L128" s="30" t="n">
        <v>125915</v>
      </c>
    </row>
    <row r="129" customFormat="false" ht="15" hidden="false" customHeight="true" outlineLevel="0" collapsed="false">
      <c r="A129" s="8" t="n">
        <v>127</v>
      </c>
      <c r="B129" s="28" t="n">
        <v>45564</v>
      </c>
      <c r="C129" s="8" t="s">
        <v>3</v>
      </c>
      <c r="D129" s="5" t="n">
        <v>397</v>
      </c>
      <c r="E129" s="5" t="n">
        <v>405</v>
      </c>
      <c r="F129" s="5" t="n">
        <v>396</v>
      </c>
      <c r="G129" s="5" t="n">
        <v>403.5</v>
      </c>
      <c r="H129" s="5" t="n">
        <v>397</v>
      </c>
      <c r="I129" s="5" t="n">
        <v>397</v>
      </c>
      <c r="K129" s="29" t="n">
        <v>44.011</v>
      </c>
      <c r="L129" s="30" t="n">
        <v>110858</v>
      </c>
    </row>
    <row r="130" customFormat="false" ht="15" hidden="false" customHeight="true" outlineLevel="0" collapsed="false">
      <c r="A130" s="8" t="n">
        <v>128</v>
      </c>
      <c r="B130" s="28" t="n">
        <v>45561</v>
      </c>
      <c r="C130" s="8" t="s">
        <v>3</v>
      </c>
      <c r="D130" s="5" t="n">
        <v>397</v>
      </c>
      <c r="E130" s="5" t="n">
        <v>402</v>
      </c>
      <c r="F130" s="5" t="n">
        <v>395.4</v>
      </c>
      <c r="G130" s="5" t="n">
        <v>401</v>
      </c>
      <c r="H130" s="5" t="n">
        <v>397</v>
      </c>
      <c r="I130" s="5" t="n">
        <v>400.7</v>
      </c>
      <c r="K130" s="29" t="n">
        <v>49.815</v>
      </c>
      <c r="L130" s="30" t="n">
        <v>125479</v>
      </c>
    </row>
    <row r="131" customFormat="false" ht="15" hidden="false" customHeight="true" outlineLevel="0" collapsed="false">
      <c r="A131" s="8" t="n">
        <v>129</v>
      </c>
      <c r="B131" s="28" t="n">
        <v>45560</v>
      </c>
      <c r="C131" s="8" t="s">
        <v>3</v>
      </c>
      <c r="D131" s="5" t="n">
        <v>400.7</v>
      </c>
      <c r="E131" s="5" t="n">
        <v>414</v>
      </c>
      <c r="F131" s="5" t="n">
        <v>398</v>
      </c>
      <c r="G131" s="5" t="n">
        <v>400</v>
      </c>
      <c r="H131" s="5" t="n">
        <v>400.7</v>
      </c>
      <c r="I131" s="5" t="n">
        <v>397.8</v>
      </c>
      <c r="K131" s="29" t="n">
        <v>150.392</v>
      </c>
      <c r="L131" s="30" t="n">
        <v>375324</v>
      </c>
    </row>
    <row r="132" customFormat="false" ht="15" hidden="false" customHeight="true" outlineLevel="0" collapsed="false">
      <c r="A132" s="8" t="n">
        <v>130</v>
      </c>
      <c r="B132" s="28" t="n">
        <v>45559</v>
      </c>
      <c r="C132" s="8" t="s">
        <v>3</v>
      </c>
      <c r="D132" s="5" t="n">
        <v>397.8</v>
      </c>
      <c r="E132" s="5" t="n">
        <v>400</v>
      </c>
      <c r="F132" s="5" t="n">
        <v>393.8</v>
      </c>
      <c r="G132" s="5" t="n">
        <v>393.8</v>
      </c>
      <c r="H132" s="5" t="n">
        <v>397.8</v>
      </c>
      <c r="I132" s="5" t="n">
        <v>393.6</v>
      </c>
      <c r="K132" s="29" t="n">
        <v>63.73</v>
      </c>
      <c r="L132" s="30" t="n">
        <v>160205</v>
      </c>
    </row>
    <row r="133" customFormat="false" ht="15" hidden="false" customHeight="true" outlineLevel="0" collapsed="false">
      <c r="A133" s="8" t="n">
        <v>131</v>
      </c>
      <c r="B133" s="28" t="n">
        <v>45558</v>
      </c>
      <c r="C133" s="8" t="s">
        <v>3</v>
      </c>
      <c r="D133" s="5" t="n">
        <v>393.6</v>
      </c>
      <c r="E133" s="5" t="n">
        <v>396.4</v>
      </c>
      <c r="F133" s="5" t="n">
        <v>393</v>
      </c>
      <c r="G133" s="5" t="n">
        <v>394.7</v>
      </c>
      <c r="H133" s="5" t="n">
        <v>393.6</v>
      </c>
      <c r="I133" s="5" t="n">
        <v>394.6</v>
      </c>
      <c r="K133" s="29" t="n">
        <v>39.923</v>
      </c>
      <c r="L133" s="30" t="n">
        <v>101430</v>
      </c>
    </row>
    <row r="134" customFormat="false" ht="15" hidden="false" customHeight="true" outlineLevel="0" collapsed="false">
      <c r="A134" s="8" t="n">
        <v>132</v>
      </c>
      <c r="B134" s="28" t="n">
        <v>45557</v>
      </c>
      <c r="C134" s="8" t="s">
        <v>3</v>
      </c>
      <c r="D134" s="5" t="n">
        <v>394.6</v>
      </c>
      <c r="E134" s="5" t="n">
        <v>408</v>
      </c>
      <c r="F134" s="5" t="n">
        <v>389</v>
      </c>
      <c r="G134" s="5" t="n">
        <v>404.4</v>
      </c>
      <c r="H134" s="5" t="n">
        <v>394.6</v>
      </c>
      <c r="I134" s="5" t="n">
        <v>399</v>
      </c>
      <c r="K134" s="29" t="n">
        <v>65.328</v>
      </c>
      <c r="L134" s="30" t="n">
        <v>165555</v>
      </c>
    </row>
    <row r="135" customFormat="false" ht="15" hidden="false" customHeight="true" outlineLevel="0" collapsed="false">
      <c r="A135" s="8" t="n">
        <v>133</v>
      </c>
      <c r="B135" s="28" t="n">
        <v>45554</v>
      </c>
      <c r="C135" s="8" t="s">
        <v>3</v>
      </c>
      <c r="D135" s="5" t="n">
        <v>399</v>
      </c>
      <c r="E135" s="5" t="n">
        <v>400</v>
      </c>
      <c r="F135" s="5" t="n">
        <v>387.1</v>
      </c>
      <c r="G135" s="5" t="n">
        <v>388</v>
      </c>
      <c r="H135" s="5" t="n">
        <v>399</v>
      </c>
      <c r="I135" s="5" t="n">
        <v>388.2</v>
      </c>
      <c r="K135" s="29" t="n">
        <v>58.716</v>
      </c>
      <c r="L135" s="30" t="n">
        <v>147157</v>
      </c>
    </row>
    <row r="136" customFormat="false" ht="15" hidden="false" customHeight="true" outlineLevel="0" collapsed="false">
      <c r="A136" s="8" t="n">
        <v>134</v>
      </c>
      <c r="B136" s="28" t="n">
        <v>45553</v>
      </c>
      <c r="C136" s="8" t="s">
        <v>3</v>
      </c>
      <c r="D136" s="5" t="n">
        <v>388.2</v>
      </c>
      <c r="E136" s="5" t="n">
        <v>392.9</v>
      </c>
      <c r="F136" s="5" t="n">
        <v>387.5</v>
      </c>
      <c r="G136" s="5" t="n">
        <v>391</v>
      </c>
      <c r="H136" s="5" t="n">
        <v>388.2</v>
      </c>
      <c r="I136" s="5" t="n">
        <v>390.6</v>
      </c>
      <c r="K136" s="29" t="n">
        <v>42.813</v>
      </c>
      <c r="L136" s="30" t="n">
        <v>110287</v>
      </c>
    </row>
    <row r="137" customFormat="false" ht="15" hidden="false" customHeight="true" outlineLevel="0" collapsed="false">
      <c r="A137" s="8" t="n">
        <v>135</v>
      </c>
      <c r="B137" s="28" t="n">
        <v>45552</v>
      </c>
      <c r="C137" s="8" t="s">
        <v>3</v>
      </c>
      <c r="D137" s="5" t="n">
        <v>390.6</v>
      </c>
      <c r="E137" s="5" t="n">
        <v>395.3</v>
      </c>
      <c r="F137" s="5" t="n">
        <v>389.9</v>
      </c>
      <c r="G137" s="5" t="n">
        <v>391.3</v>
      </c>
      <c r="H137" s="5" t="n">
        <v>390.6</v>
      </c>
      <c r="I137" s="5" t="n">
        <v>391.3</v>
      </c>
      <c r="K137" s="29" t="n">
        <v>155.516</v>
      </c>
      <c r="L137" s="30" t="n">
        <v>398146</v>
      </c>
    </row>
    <row r="138" customFormat="false" ht="15" hidden="false" customHeight="true" outlineLevel="0" collapsed="false">
      <c r="A138" s="8" t="n">
        <v>136</v>
      </c>
      <c r="B138" s="28" t="n">
        <v>45550</v>
      </c>
      <c r="C138" s="8" t="s">
        <v>3</v>
      </c>
      <c r="D138" s="5" t="n">
        <v>391.3</v>
      </c>
      <c r="E138" s="5" t="n">
        <v>401.4</v>
      </c>
      <c r="F138" s="5" t="n">
        <v>388.9</v>
      </c>
      <c r="G138" s="5" t="n">
        <v>398.8</v>
      </c>
      <c r="H138" s="5" t="n">
        <v>391.3</v>
      </c>
      <c r="I138" s="5" t="n">
        <v>398.8</v>
      </c>
      <c r="K138" s="29" t="n">
        <v>71.598</v>
      </c>
      <c r="L138" s="30" t="n">
        <v>182974</v>
      </c>
    </row>
    <row r="139" customFormat="false" ht="15" hidden="false" customHeight="true" outlineLevel="0" collapsed="false">
      <c r="A139" s="8" t="n">
        <v>137</v>
      </c>
      <c r="B139" s="28" t="n">
        <v>45547</v>
      </c>
      <c r="C139" s="8" t="s">
        <v>3</v>
      </c>
      <c r="D139" s="5" t="n">
        <v>398.8</v>
      </c>
      <c r="E139" s="5" t="n">
        <v>401.9</v>
      </c>
      <c r="F139" s="5" t="n">
        <v>397.8</v>
      </c>
      <c r="G139" s="5" t="n">
        <v>400</v>
      </c>
      <c r="H139" s="5" t="n">
        <v>398.8</v>
      </c>
      <c r="I139" s="5" t="n">
        <v>399.8</v>
      </c>
      <c r="K139" s="29" t="n">
        <v>43.899</v>
      </c>
      <c r="L139" s="30" t="n">
        <v>110077</v>
      </c>
    </row>
    <row r="140" customFormat="false" ht="15" hidden="false" customHeight="true" outlineLevel="0" collapsed="false">
      <c r="A140" s="8" t="n">
        <v>138</v>
      </c>
      <c r="B140" s="28" t="n">
        <v>45546</v>
      </c>
      <c r="C140" s="8" t="s">
        <v>3</v>
      </c>
      <c r="D140" s="5" t="n">
        <v>399.8</v>
      </c>
      <c r="E140" s="5" t="n">
        <v>405</v>
      </c>
      <c r="F140" s="5" t="n">
        <v>399</v>
      </c>
      <c r="G140" s="5" t="n">
        <v>402</v>
      </c>
      <c r="H140" s="5" t="n">
        <v>399.8</v>
      </c>
      <c r="I140" s="5" t="n">
        <v>401</v>
      </c>
      <c r="K140" s="29" t="n">
        <v>37.408</v>
      </c>
      <c r="L140" s="30" t="n">
        <v>93566</v>
      </c>
    </row>
    <row r="141" customFormat="false" ht="15" hidden="false" customHeight="true" outlineLevel="0" collapsed="false">
      <c r="A141" s="8" t="n">
        <v>139</v>
      </c>
      <c r="B141" s="28" t="n">
        <v>45545</v>
      </c>
      <c r="C141" s="8" t="s">
        <v>3</v>
      </c>
      <c r="D141" s="5" t="n">
        <v>401</v>
      </c>
      <c r="E141" s="5" t="n">
        <v>403.8</v>
      </c>
      <c r="F141" s="5" t="n">
        <v>396.2</v>
      </c>
      <c r="G141" s="5" t="n">
        <v>403.8</v>
      </c>
      <c r="H141" s="5" t="n">
        <v>401</v>
      </c>
      <c r="I141" s="5" t="n">
        <v>399.6</v>
      </c>
      <c r="K141" s="29" t="n">
        <v>46.643</v>
      </c>
      <c r="L141" s="30" t="n">
        <v>116317</v>
      </c>
    </row>
    <row r="142" customFormat="false" ht="15" hidden="false" customHeight="true" outlineLevel="0" collapsed="false">
      <c r="A142" s="8" t="n">
        <v>140</v>
      </c>
      <c r="B142" s="28" t="n">
        <v>45544</v>
      </c>
      <c r="C142" s="8" t="s">
        <v>3</v>
      </c>
      <c r="D142" s="5" t="n">
        <v>399.6</v>
      </c>
      <c r="E142" s="5" t="n">
        <v>407</v>
      </c>
      <c r="F142" s="5" t="n">
        <v>398</v>
      </c>
      <c r="G142" s="5" t="n">
        <v>405.3</v>
      </c>
      <c r="H142" s="5" t="n">
        <v>399.6</v>
      </c>
      <c r="I142" s="5" t="n">
        <v>405.3</v>
      </c>
      <c r="K142" s="29" t="n">
        <v>108.846</v>
      </c>
      <c r="L142" s="30" t="n">
        <v>272387</v>
      </c>
    </row>
    <row r="143" customFormat="false" ht="15" hidden="false" customHeight="true" outlineLevel="0" collapsed="false">
      <c r="A143" s="8" t="n">
        <v>141</v>
      </c>
      <c r="B143" s="28" t="n">
        <v>45543</v>
      </c>
      <c r="C143" s="8" t="s">
        <v>3</v>
      </c>
      <c r="D143" s="5" t="n">
        <v>405.3</v>
      </c>
      <c r="E143" s="5" t="n">
        <v>415</v>
      </c>
      <c r="F143" s="5" t="n">
        <v>404.5</v>
      </c>
      <c r="G143" s="5" t="n">
        <v>411.8</v>
      </c>
      <c r="H143" s="5" t="n">
        <v>405.3</v>
      </c>
      <c r="I143" s="5" t="n">
        <v>411.8</v>
      </c>
      <c r="K143" s="29" t="n">
        <v>82.296</v>
      </c>
      <c r="L143" s="30" t="n">
        <v>203049</v>
      </c>
    </row>
    <row r="144" customFormat="false" ht="15" hidden="false" customHeight="true" outlineLevel="0" collapsed="false">
      <c r="A144" s="8" t="n">
        <v>142</v>
      </c>
      <c r="B144" s="28" t="n">
        <v>45540</v>
      </c>
      <c r="C144" s="8" t="s">
        <v>3</v>
      </c>
      <c r="D144" s="5" t="n">
        <v>411.8</v>
      </c>
      <c r="E144" s="5" t="n">
        <v>419.4</v>
      </c>
      <c r="F144" s="5" t="n">
        <v>410</v>
      </c>
      <c r="G144" s="5" t="n">
        <v>419.4</v>
      </c>
      <c r="H144" s="5" t="n">
        <v>411.8</v>
      </c>
      <c r="I144" s="5" t="n">
        <v>416.1</v>
      </c>
      <c r="K144" s="29" t="n">
        <v>106.461</v>
      </c>
      <c r="L144" s="30" t="n">
        <v>258527</v>
      </c>
    </row>
    <row r="145" customFormat="false" ht="15" hidden="false" customHeight="true" outlineLevel="0" collapsed="false">
      <c r="A145" s="8" t="n">
        <v>143</v>
      </c>
      <c r="B145" s="28" t="n">
        <v>45539</v>
      </c>
      <c r="C145" s="8" t="s">
        <v>3</v>
      </c>
      <c r="D145" s="5" t="n">
        <v>416.1</v>
      </c>
      <c r="E145" s="5" t="n">
        <v>420</v>
      </c>
      <c r="F145" s="5" t="n">
        <v>415.5</v>
      </c>
      <c r="G145" s="5" t="n">
        <v>418.6</v>
      </c>
      <c r="H145" s="5" t="n">
        <v>416.1</v>
      </c>
      <c r="I145" s="5" t="n">
        <v>418.6</v>
      </c>
      <c r="K145" s="29" t="n">
        <v>77.561</v>
      </c>
      <c r="L145" s="30" t="n">
        <v>186400</v>
      </c>
    </row>
    <row r="146" customFormat="false" ht="15" hidden="false" customHeight="true" outlineLevel="0" collapsed="false">
      <c r="A146" s="8" t="n">
        <v>144</v>
      </c>
      <c r="B146" s="28" t="n">
        <v>45538</v>
      </c>
      <c r="C146" s="8" t="s">
        <v>3</v>
      </c>
      <c r="D146" s="5" t="n">
        <v>418.6</v>
      </c>
      <c r="E146" s="5" t="n">
        <v>425.6</v>
      </c>
      <c r="F146" s="5" t="n">
        <v>417.8</v>
      </c>
      <c r="G146" s="5" t="n">
        <v>425.6</v>
      </c>
      <c r="H146" s="5" t="n">
        <v>418.6</v>
      </c>
      <c r="I146" s="5" t="n">
        <v>425.5</v>
      </c>
      <c r="K146" s="29" t="n">
        <v>126.498</v>
      </c>
      <c r="L146" s="30" t="n">
        <v>302193</v>
      </c>
    </row>
    <row r="147" customFormat="false" ht="15" hidden="false" customHeight="true" outlineLevel="0" collapsed="false">
      <c r="A147" s="8" t="n">
        <v>145</v>
      </c>
      <c r="B147" s="28" t="n">
        <v>45537</v>
      </c>
      <c r="C147" s="8" t="s">
        <v>3</v>
      </c>
      <c r="D147" s="5" t="n">
        <v>425.5</v>
      </c>
      <c r="E147" s="5" t="n">
        <v>429</v>
      </c>
      <c r="F147" s="5" t="n">
        <v>417.1</v>
      </c>
      <c r="G147" s="5" t="n">
        <v>424.9</v>
      </c>
      <c r="H147" s="5" t="n">
        <v>425.5</v>
      </c>
      <c r="I147" s="5" t="n">
        <v>423.5</v>
      </c>
      <c r="K147" s="29" t="n">
        <v>549.451</v>
      </c>
      <c r="L147" s="30" t="n">
        <v>1291306</v>
      </c>
    </row>
    <row r="148" customFormat="false" ht="15" hidden="false" customHeight="true" outlineLevel="0" collapsed="false">
      <c r="A148" s="8" t="n">
        <v>146</v>
      </c>
      <c r="B148" s="28" t="n">
        <v>45536</v>
      </c>
      <c r="C148" s="8" t="s">
        <v>3</v>
      </c>
      <c r="D148" s="5" t="n">
        <v>423.5</v>
      </c>
      <c r="E148" s="5" t="n">
        <v>427</v>
      </c>
      <c r="F148" s="5" t="n">
        <v>415</v>
      </c>
      <c r="G148" s="5" t="n">
        <v>422</v>
      </c>
      <c r="H148" s="5" t="n">
        <v>423.5</v>
      </c>
      <c r="I148" s="5" t="n">
        <v>419.7</v>
      </c>
      <c r="K148" s="29" t="n">
        <v>872.621</v>
      </c>
      <c r="L148" s="30" t="n">
        <v>2060499</v>
      </c>
    </row>
    <row r="149" customFormat="false" ht="15" hidden="false" customHeight="true" outlineLevel="0" collapsed="false">
      <c r="A149" s="8" t="n">
        <v>147</v>
      </c>
      <c r="B149" s="28" t="n">
        <v>45533</v>
      </c>
      <c r="C149" s="8" t="s">
        <v>3</v>
      </c>
      <c r="D149" s="5" t="n">
        <v>419.7</v>
      </c>
      <c r="E149" s="5" t="n">
        <v>420</v>
      </c>
      <c r="F149" s="5" t="n">
        <v>410</v>
      </c>
      <c r="G149" s="5" t="n">
        <v>414</v>
      </c>
      <c r="H149" s="5" t="n">
        <v>419.7</v>
      </c>
      <c r="I149" s="5" t="n">
        <v>413.9</v>
      </c>
      <c r="K149" s="29" t="n">
        <v>784.947</v>
      </c>
      <c r="L149" s="30" t="n">
        <v>1870257</v>
      </c>
    </row>
    <row r="150" customFormat="false" ht="15" hidden="false" customHeight="true" outlineLevel="0" collapsed="false">
      <c r="A150" s="8" t="n">
        <v>148</v>
      </c>
      <c r="B150" s="28" t="n">
        <v>45532</v>
      </c>
      <c r="C150" s="8" t="s">
        <v>3</v>
      </c>
      <c r="D150" s="5" t="n">
        <v>413.9</v>
      </c>
      <c r="E150" s="5" t="n">
        <v>419</v>
      </c>
      <c r="F150" s="5" t="n">
        <v>405</v>
      </c>
      <c r="G150" s="5" t="n">
        <v>405</v>
      </c>
      <c r="H150" s="5" t="n">
        <v>413.9</v>
      </c>
      <c r="I150" s="5" t="n">
        <v>404.1</v>
      </c>
      <c r="K150" s="29" t="n">
        <v>151.603</v>
      </c>
      <c r="L150" s="30" t="n">
        <v>366280</v>
      </c>
    </row>
    <row r="151" customFormat="false" ht="15" hidden="false" customHeight="true" outlineLevel="0" collapsed="false">
      <c r="A151" s="8" t="n">
        <v>149</v>
      </c>
      <c r="B151" s="28" t="n">
        <v>45531</v>
      </c>
      <c r="C151" s="8" t="s">
        <v>3</v>
      </c>
      <c r="D151" s="5" t="n">
        <v>404.1</v>
      </c>
      <c r="E151" s="5" t="n">
        <v>409</v>
      </c>
      <c r="F151" s="5" t="n">
        <v>401.3</v>
      </c>
      <c r="G151" s="5" t="n">
        <v>408</v>
      </c>
      <c r="H151" s="5" t="n">
        <v>404.1</v>
      </c>
      <c r="I151" s="5" t="n">
        <v>409.7</v>
      </c>
      <c r="K151" s="29" t="n">
        <v>76.294</v>
      </c>
      <c r="L151" s="30" t="n">
        <v>188799</v>
      </c>
    </row>
    <row r="152" customFormat="false" ht="15" hidden="false" customHeight="true" outlineLevel="0" collapsed="false">
      <c r="A152" s="8" t="n">
        <v>150</v>
      </c>
      <c r="B152" s="28" t="n">
        <v>45529</v>
      </c>
      <c r="C152" s="8" t="s">
        <v>3</v>
      </c>
      <c r="D152" s="5" t="n">
        <v>409.7</v>
      </c>
      <c r="E152" s="5" t="n">
        <v>419</v>
      </c>
      <c r="F152" s="5" t="n">
        <v>408.4</v>
      </c>
      <c r="G152" s="5" t="n">
        <v>415</v>
      </c>
      <c r="H152" s="5" t="n">
        <v>409.7</v>
      </c>
      <c r="I152" s="5" t="n">
        <v>409.8</v>
      </c>
      <c r="K152" s="29" t="n">
        <v>87.167</v>
      </c>
      <c r="L152" s="30" t="n">
        <v>212759</v>
      </c>
    </row>
    <row r="153" customFormat="false" ht="15" hidden="false" customHeight="true" outlineLevel="0" collapsed="false">
      <c r="A153" s="8" t="n">
        <v>151</v>
      </c>
      <c r="B153" s="28" t="n">
        <v>45526</v>
      </c>
      <c r="C153" s="8" t="s">
        <v>3</v>
      </c>
      <c r="D153" s="5" t="n">
        <v>409.8</v>
      </c>
      <c r="E153" s="5" t="n">
        <v>412</v>
      </c>
      <c r="F153" s="5" t="n">
        <v>382.5</v>
      </c>
      <c r="G153" s="5" t="n">
        <v>382.5</v>
      </c>
      <c r="H153" s="5" t="n">
        <v>409.8</v>
      </c>
      <c r="I153" s="5" t="n">
        <v>394.3</v>
      </c>
      <c r="K153" s="29" t="n">
        <v>235.539</v>
      </c>
      <c r="L153" s="30" t="n">
        <v>574765</v>
      </c>
    </row>
    <row r="154" customFormat="false" ht="15" hidden="false" customHeight="true" outlineLevel="0" collapsed="false">
      <c r="A154" s="8" t="n">
        <v>152</v>
      </c>
      <c r="B154" s="28" t="n">
        <v>45525</v>
      </c>
      <c r="C154" s="8" t="s">
        <v>3</v>
      </c>
      <c r="D154" s="5" t="n">
        <v>394.3</v>
      </c>
      <c r="E154" s="5" t="n">
        <v>405.9</v>
      </c>
      <c r="F154" s="5" t="n">
        <v>394.3</v>
      </c>
      <c r="G154" s="5" t="n">
        <v>405.9</v>
      </c>
      <c r="H154" s="5" t="n">
        <v>394.3</v>
      </c>
      <c r="I154" s="5" t="n">
        <v>406.4</v>
      </c>
      <c r="K154" s="29" t="n">
        <v>118.335</v>
      </c>
      <c r="L154" s="30" t="n">
        <v>300113</v>
      </c>
    </row>
    <row r="155" customFormat="false" ht="15" hidden="false" customHeight="true" outlineLevel="0" collapsed="false">
      <c r="A155" s="8" t="n">
        <v>153</v>
      </c>
      <c r="B155" s="28" t="n">
        <v>45524</v>
      </c>
      <c r="C155" s="8" t="s">
        <v>3</v>
      </c>
      <c r="D155" s="5" t="n">
        <v>406.4</v>
      </c>
      <c r="E155" s="5" t="n">
        <v>421.4</v>
      </c>
      <c r="F155" s="5" t="n">
        <v>405.4</v>
      </c>
      <c r="G155" s="5" t="n">
        <v>419.9</v>
      </c>
      <c r="H155" s="5" t="n">
        <v>406.4</v>
      </c>
      <c r="I155" s="5" t="n">
        <v>415.2</v>
      </c>
      <c r="K155" s="29" t="n">
        <v>125.802</v>
      </c>
      <c r="L155" s="30" t="n">
        <v>309553</v>
      </c>
    </row>
    <row r="156" customFormat="false" ht="15" hidden="false" customHeight="true" outlineLevel="0" collapsed="false">
      <c r="A156" s="8" t="n">
        <v>154</v>
      </c>
      <c r="B156" s="28" t="n">
        <v>45523</v>
      </c>
      <c r="C156" s="8" t="s">
        <v>3</v>
      </c>
      <c r="D156" s="5" t="n">
        <v>415.2</v>
      </c>
      <c r="E156" s="5" t="n">
        <v>422.8</v>
      </c>
      <c r="F156" s="5" t="n">
        <v>408.2</v>
      </c>
      <c r="G156" s="5" t="n">
        <v>415.1</v>
      </c>
      <c r="H156" s="5" t="n">
        <v>415.2</v>
      </c>
      <c r="I156" s="5" t="n">
        <v>415.1</v>
      </c>
      <c r="K156" s="29" t="n">
        <v>139.923</v>
      </c>
      <c r="L156" s="30" t="n">
        <v>337001</v>
      </c>
    </row>
    <row r="157" customFormat="false" ht="15" hidden="false" customHeight="true" outlineLevel="0" collapsed="false">
      <c r="A157" s="8" t="n">
        <v>155</v>
      </c>
      <c r="B157" s="28" t="n">
        <v>45522</v>
      </c>
      <c r="C157" s="8" t="s">
        <v>3</v>
      </c>
      <c r="D157" s="5" t="n">
        <v>415.1</v>
      </c>
      <c r="E157" s="5" t="n">
        <v>427.9</v>
      </c>
      <c r="F157" s="5" t="n">
        <v>415.1</v>
      </c>
      <c r="G157" s="5" t="n">
        <v>427.9</v>
      </c>
      <c r="H157" s="5" t="n">
        <v>415.1</v>
      </c>
      <c r="I157" s="5" t="n">
        <v>427.9</v>
      </c>
      <c r="K157" s="29" t="n">
        <v>208.128</v>
      </c>
      <c r="L157" s="30" t="n">
        <v>501393</v>
      </c>
    </row>
    <row r="158" customFormat="false" ht="15" hidden="false" customHeight="true" outlineLevel="0" collapsed="false">
      <c r="A158" s="8" t="n">
        <v>156</v>
      </c>
      <c r="B158" s="28" t="n">
        <v>45519</v>
      </c>
      <c r="C158" s="8" t="s">
        <v>3</v>
      </c>
      <c r="D158" s="5" t="n">
        <v>427.9</v>
      </c>
      <c r="E158" s="5" t="n">
        <v>439</v>
      </c>
      <c r="F158" s="5" t="n">
        <v>423</v>
      </c>
      <c r="G158" s="5" t="n">
        <v>433</v>
      </c>
      <c r="H158" s="5" t="n">
        <v>427.9</v>
      </c>
      <c r="I158" s="5" t="n">
        <v>430.6</v>
      </c>
      <c r="K158" s="29" t="n">
        <v>203.953</v>
      </c>
      <c r="L158" s="30" t="n">
        <v>476636</v>
      </c>
    </row>
    <row r="159" customFormat="false" ht="15" hidden="false" customHeight="true" outlineLevel="0" collapsed="false">
      <c r="A159" s="8" t="n">
        <v>157</v>
      </c>
      <c r="B159" s="28" t="n">
        <v>45518</v>
      </c>
      <c r="C159" s="8" t="s">
        <v>3</v>
      </c>
      <c r="D159" s="5" t="n">
        <v>430.6</v>
      </c>
      <c r="E159" s="5" t="n">
        <v>433</v>
      </c>
      <c r="F159" s="5" t="n">
        <v>412</v>
      </c>
      <c r="G159" s="5" t="n">
        <v>413</v>
      </c>
      <c r="H159" s="5" t="n">
        <v>430.6</v>
      </c>
      <c r="I159" s="5" t="n">
        <v>411.1</v>
      </c>
      <c r="K159" s="29" t="n">
        <v>376.014</v>
      </c>
      <c r="L159" s="30" t="n">
        <v>873232</v>
      </c>
    </row>
    <row r="160" customFormat="false" ht="15" hidden="false" customHeight="true" outlineLevel="0" collapsed="false">
      <c r="A160" s="8" t="n">
        <v>158</v>
      </c>
      <c r="B160" s="28" t="n">
        <v>45517</v>
      </c>
      <c r="C160" s="8" t="s">
        <v>3</v>
      </c>
      <c r="D160" s="5" t="n">
        <v>411.1</v>
      </c>
      <c r="E160" s="5" t="n">
        <v>420</v>
      </c>
      <c r="F160" s="5" t="n">
        <v>406.5</v>
      </c>
      <c r="G160" s="5" t="n">
        <v>416.9</v>
      </c>
      <c r="H160" s="5" t="n">
        <v>411.1</v>
      </c>
      <c r="I160" s="5" t="n">
        <v>416.9</v>
      </c>
      <c r="K160" s="29" t="n">
        <v>167.217</v>
      </c>
      <c r="L160" s="30" t="n">
        <v>406754</v>
      </c>
    </row>
    <row r="161" customFormat="false" ht="15" hidden="false" customHeight="true" outlineLevel="0" collapsed="false">
      <c r="A161" s="8" t="n">
        <v>159</v>
      </c>
      <c r="B161" s="28" t="n">
        <v>45516</v>
      </c>
      <c r="C161" s="8" t="s">
        <v>3</v>
      </c>
      <c r="D161" s="5" t="n">
        <v>416.9</v>
      </c>
      <c r="E161" s="5" t="n">
        <v>450</v>
      </c>
      <c r="F161" s="5" t="n">
        <v>413.8</v>
      </c>
      <c r="G161" s="5" t="n">
        <v>444</v>
      </c>
      <c r="H161" s="5" t="n">
        <v>416.9</v>
      </c>
      <c r="I161" s="5" t="n">
        <v>426.5</v>
      </c>
      <c r="K161" s="29" t="n">
        <v>291.637</v>
      </c>
      <c r="L161" s="30" t="n">
        <v>699536</v>
      </c>
    </row>
    <row r="162" customFormat="false" ht="15" hidden="false" customHeight="true" outlineLevel="0" collapsed="false">
      <c r="A162" s="8" t="n">
        <v>160</v>
      </c>
      <c r="B162" s="28" t="n">
        <v>45515</v>
      </c>
      <c r="C162" s="8" t="s">
        <v>3</v>
      </c>
      <c r="D162" s="5" t="n">
        <v>426.5</v>
      </c>
      <c r="E162" s="5" t="n">
        <v>444</v>
      </c>
      <c r="F162" s="5" t="n">
        <v>401</v>
      </c>
      <c r="G162" s="5" t="n">
        <v>444</v>
      </c>
      <c r="H162" s="5" t="n">
        <v>426.5</v>
      </c>
      <c r="I162" s="5" t="n">
        <v>408.9</v>
      </c>
      <c r="K162" s="29" t="n">
        <v>627.396</v>
      </c>
      <c r="L162" s="30" t="n">
        <v>1471034</v>
      </c>
    </row>
    <row r="163" customFormat="false" ht="15" hidden="false" customHeight="true" outlineLevel="0" collapsed="false">
      <c r="A163" s="8" t="n">
        <v>161</v>
      </c>
      <c r="B163" s="28" t="n">
        <v>45512</v>
      </c>
      <c r="C163" s="8" t="s">
        <v>3</v>
      </c>
      <c r="D163" s="5" t="n">
        <v>408.9</v>
      </c>
      <c r="E163" s="5" t="n">
        <v>409</v>
      </c>
      <c r="F163" s="5" t="n">
        <v>380</v>
      </c>
      <c r="G163" s="5" t="n">
        <v>405</v>
      </c>
      <c r="H163" s="5" t="n">
        <v>408.9</v>
      </c>
      <c r="I163" s="5" t="n">
        <v>376.1</v>
      </c>
      <c r="K163" s="29" t="n">
        <v>631.727</v>
      </c>
      <c r="L163" s="30" t="n">
        <v>1544942</v>
      </c>
    </row>
    <row r="164" customFormat="false" ht="15" hidden="false" customHeight="true" outlineLevel="0" collapsed="false">
      <c r="A164" s="8" t="n">
        <v>162</v>
      </c>
      <c r="B164" s="28" t="n">
        <v>45511</v>
      </c>
      <c r="C164" s="8" t="s">
        <v>3</v>
      </c>
      <c r="D164" s="5" t="n">
        <v>376.1</v>
      </c>
      <c r="E164" s="5" t="n">
        <v>376.4</v>
      </c>
      <c r="F164" s="5" t="n">
        <v>348</v>
      </c>
      <c r="G164" s="5" t="n">
        <v>350</v>
      </c>
      <c r="H164" s="5" t="n">
        <v>376.1</v>
      </c>
      <c r="I164" s="5" t="n">
        <v>346.2</v>
      </c>
      <c r="K164" s="29" t="n">
        <v>559.741</v>
      </c>
      <c r="L164" s="30" t="n">
        <v>1488276</v>
      </c>
    </row>
    <row r="165" customFormat="false" ht="15" hidden="false" customHeight="true" outlineLevel="0" collapsed="false">
      <c r="A165" s="8" t="n">
        <v>163</v>
      </c>
      <c r="B165" s="28" t="n">
        <v>45510</v>
      </c>
      <c r="C165" s="8" t="s">
        <v>3</v>
      </c>
      <c r="D165" s="5" t="n">
        <v>346.2</v>
      </c>
      <c r="E165" s="5" t="n">
        <v>350.2</v>
      </c>
      <c r="F165" s="5" t="n">
        <v>336.5</v>
      </c>
      <c r="G165" s="5" t="n">
        <v>336.5</v>
      </c>
      <c r="H165" s="5" t="n">
        <v>346.2</v>
      </c>
      <c r="I165" s="5" t="n">
        <v>322.1</v>
      </c>
      <c r="K165" s="29" t="n">
        <v>170.464</v>
      </c>
      <c r="L165" s="30" t="n">
        <v>492386</v>
      </c>
    </row>
    <row r="166" customFormat="false" ht="15" hidden="false" customHeight="true" outlineLevel="0" collapsed="false">
      <c r="A166" s="8" t="n">
        <v>164</v>
      </c>
      <c r="B166" s="28" t="n">
        <v>45508</v>
      </c>
      <c r="C166" s="8" t="s">
        <v>3</v>
      </c>
      <c r="D166" s="5" t="n">
        <v>322.1</v>
      </c>
      <c r="E166" s="5" t="n">
        <v>325.1</v>
      </c>
      <c r="F166" s="5" t="n">
        <v>322.1</v>
      </c>
      <c r="G166" s="5" t="n">
        <v>322.1</v>
      </c>
      <c r="H166" s="5" t="n">
        <v>322.1</v>
      </c>
      <c r="I166" s="5" t="n">
        <v>332</v>
      </c>
      <c r="K166" s="29" t="n">
        <v>44.172</v>
      </c>
      <c r="L166" s="30" t="n">
        <v>137137</v>
      </c>
    </row>
    <row r="167" customFormat="false" ht="15" hidden="false" customHeight="true" outlineLevel="0" collapsed="false">
      <c r="A167" s="8" t="n">
        <v>165</v>
      </c>
      <c r="B167" s="28" t="n">
        <v>45505</v>
      </c>
      <c r="C167" s="8" t="s">
        <v>3</v>
      </c>
      <c r="D167" s="5" t="n">
        <v>332</v>
      </c>
      <c r="E167" s="5" t="n">
        <v>335</v>
      </c>
      <c r="F167" s="5" t="n">
        <v>329.1</v>
      </c>
      <c r="G167" s="5" t="n">
        <v>332.6</v>
      </c>
      <c r="H167" s="5" t="n">
        <v>332</v>
      </c>
      <c r="I167" s="5" t="n">
        <v>329.8</v>
      </c>
      <c r="K167" s="29" t="n">
        <v>15.328</v>
      </c>
      <c r="L167" s="30" t="n">
        <v>46168</v>
      </c>
    </row>
    <row r="168" customFormat="false" ht="15" hidden="false" customHeight="true" outlineLevel="0" collapsed="false">
      <c r="A168" s="8" t="n">
        <v>166</v>
      </c>
      <c r="B168" s="28" t="n">
        <v>45504</v>
      </c>
      <c r="C168" s="8" t="s">
        <v>3</v>
      </c>
      <c r="D168" s="5" t="n">
        <v>329.8</v>
      </c>
      <c r="E168" s="5" t="n">
        <v>332</v>
      </c>
      <c r="F168" s="5" t="n">
        <v>328.3</v>
      </c>
      <c r="G168" s="5" t="n">
        <v>328.3</v>
      </c>
      <c r="H168" s="5" t="n">
        <v>329.8</v>
      </c>
      <c r="I168" s="5" t="n">
        <v>328.3</v>
      </c>
      <c r="K168" s="29" t="n">
        <v>21.696</v>
      </c>
      <c r="L168" s="30" t="n">
        <v>65784</v>
      </c>
    </row>
    <row r="169" customFormat="false" ht="15" hidden="false" customHeight="true" outlineLevel="0" collapsed="false">
      <c r="A169" s="8" t="n">
        <v>167</v>
      </c>
      <c r="B169" s="28" t="n">
        <v>45503</v>
      </c>
      <c r="C169" s="8" t="s">
        <v>3</v>
      </c>
      <c r="D169" s="5" t="n">
        <v>328.3</v>
      </c>
      <c r="E169" s="5" t="n">
        <v>331.8</v>
      </c>
      <c r="F169" s="5" t="n">
        <v>326.4</v>
      </c>
      <c r="G169" s="5" t="n">
        <v>330.8</v>
      </c>
      <c r="H169" s="5" t="n">
        <v>328.3</v>
      </c>
      <c r="I169" s="5" t="n">
        <v>330.8</v>
      </c>
      <c r="K169" s="29" t="n">
        <v>55.038</v>
      </c>
      <c r="L169" s="30" t="n">
        <v>167645</v>
      </c>
    </row>
    <row r="170" customFormat="false" ht="15" hidden="false" customHeight="true" outlineLevel="0" collapsed="false">
      <c r="A170" s="8" t="n">
        <v>168</v>
      </c>
      <c r="B170" s="28" t="n">
        <v>45502</v>
      </c>
      <c r="C170" s="8" t="s">
        <v>3</v>
      </c>
      <c r="D170" s="5" t="n">
        <v>330.8</v>
      </c>
      <c r="E170" s="5" t="n">
        <v>333.9</v>
      </c>
      <c r="F170" s="5" t="n">
        <v>330.2</v>
      </c>
      <c r="G170" s="5" t="n">
        <v>331.4</v>
      </c>
      <c r="H170" s="5" t="n">
        <v>330.8</v>
      </c>
      <c r="I170" s="5" t="n">
        <v>331.3</v>
      </c>
      <c r="K170" s="29" t="n">
        <v>72.49</v>
      </c>
      <c r="L170" s="30" t="n">
        <v>219136</v>
      </c>
    </row>
    <row r="171" customFormat="false" ht="15" hidden="false" customHeight="true" outlineLevel="0" collapsed="false">
      <c r="A171" s="8" t="n">
        <v>169</v>
      </c>
      <c r="B171" s="28" t="n">
        <v>45501</v>
      </c>
      <c r="C171" s="8" t="s">
        <v>3</v>
      </c>
      <c r="D171" s="5" t="n">
        <v>331.3</v>
      </c>
      <c r="E171" s="5" t="n">
        <v>339</v>
      </c>
      <c r="F171" s="5" t="n">
        <v>330</v>
      </c>
      <c r="G171" s="5" t="n">
        <v>335</v>
      </c>
      <c r="H171" s="5" t="n">
        <v>331.3</v>
      </c>
      <c r="I171" s="5" t="n">
        <v>335</v>
      </c>
      <c r="K171" s="29" t="n">
        <v>38.731</v>
      </c>
      <c r="L171" s="30" t="n">
        <v>116906</v>
      </c>
    </row>
    <row r="172" customFormat="false" ht="15" hidden="false" customHeight="true" outlineLevel="0" collapsed="false">
      <c r="A172" s="8" t="n">
        <v>170</v>
      </c>
      <c r="B172" s="28" t="n">
        <v>45498</v>
      </c>
      <c r="C172" s="8" t="s">
        <v>3</v>
      </c>
      <c r="D172" s="5" t="n">
        <v>335</v>
      </c>
      <c r="E172" s="5" t="n">
        <v>337.6</v>
      </c>
      <c r="F172" s="5" t="n">
        <v>325.6</v>
      </c>
      <c r="G172" s="5" t="n">
        <v>329.3</v>
      </c>
      <c r="H172" s="5" t="n">
        <v>335</v>
      </c>
      <c r="I172" s="5" t="n">
        <v>328.1</v>
      </c>
      <c r="K172" s="29" t="n">
        <v>47.062</v>
      </c>
      <c r="L172" s="30" t="n">
        <v>140485</v>
      </c>
    </row>
    <row r="173" customFormat="false" ht="15" hidden="false" customHeight="true" outlineLevel="0" collapsed="false">
      <c r="A173" s="8" t="n">
        <v>171</v>
      </c>
      <c r="B173" s="28" t="n">
        <v>45497</v>
      </c>
      <c r="C173" s="8" t="s">
        <v>3</v>
      </c>
      <c r="D173" s="5" t="n">
        <v>328.1</v>
      </c>
      <c r="E173" s="5" t="n">
        <v>331.5</v>
      </c>
      <c r="F173" s="5" t="n">
        <v>326.9</v>
      </c>
      <c r="G173" s="5" t="n">
        <v>331.4</v>
      </c>
      <c r="H173" s="5" t="n">
        <v>328.1</v>
      </c>
      <c r="I173" s="5" t="n">
        <v>335.9</v>
      </c>
      <c r="K173" s="29" t="n">
        <v>38.66</v>
      </c>
      <c r="L173" s="30" t="n">
        <v>117829</v>
      </c>
    </row>
    <row r="174" customFormat="false" ht="15" hidden="false" customHeight="true" outlineLevel="0" collapsed="false">
      <c r="A174" s="8" t="n">
        <v>172</v>
      </c>
      <c r="B174" s="28" t="n">
        <v>45491</v>
      </c>
      <c r="C174" s="8" t="s">
        <v>3</v>
      </c>
      <c r="D174" s="5" t="n">
        <v>335.9</v>
      </c>
      <c r="E174" s="5" t="n">
        <v>338.1</v>
      </c>
      <c r="F174" s="5" t="n">
        <v>332</v>
      </c>
      <c r="G174" s="5" t="n">
        <v>337</v>
      </c>
      <c r="H174" s="5" t="n">
        <v>335.9</v>
      </c>
      <c r="I174" s="5" t="n">
        <v>337</v>
      </c>
      <c r="K174" s="29" t="n">
        <v>37.821</v>
      </c>
      <c r="L174" s="30" t="n">
        <v>112595</v>
      </c>
    </row>
    <row r="175" customFormat="false" ht="15" hidden="false" customHeight="true" outlineLevel="0" collapsed="false">
      <c r="A175" s="8" t="n">
        <v>173</v>
      </c>
      <c r="B175" s="28" t="n">
        <v>45489</v>
      </c>
      <c r="C175" s="8" t="s">
        <v>3</v>
      </c>
      <c r="D175" s="5" t="n">
        <v>337</v>
      </c>
      <c r="E175" s="5" t="n">
        <v>337.9</v>
      </c>
      <c r="F175" s="5" t="n">
        <v>333.1</v>
      </c>
      <c r="G175" s="5" t="n">
        <v>336.5</v>
      </c>
      <c r="H175" s="5" t="n">
        <v>337</v>
      </c>
      <c r="I175" s="5" t="n">
        <v>335.7</v>
      </c>
      <c r="K175" s="29" t="n">
        <v>31.277</v>
      </c>
      <c r="L175" s="30" t="n">
        <v>92809</v>
      </c>
    </row>
    <row r="176" customFormat="false" ht="15" hidden="false" customHeight="true" outlineLevel="0" collapsed="false">
      <c r="A176" s="8" t="n">
        <v>174</v>
      </c>
      <c r="B176" s="28" t="n">
        <v>45488</v>
      </c>
      <c r="C176" s="8" t="s">
        <v>3</v>
      </c>
      <c r="D176" s="5" t="n">
        <v>335.7</v>
      </c>
      <c r="E176" s="5" t="n">
        <v>339.8</v>
      </c>
      <c r="F176" s="5" t="n">
        <v>334</v>
      </c>
      <c r="G176" s="5" t="n">
        <v>335</v>
      </c>
      <c r="H176" s="5" t="n">
        <v>335.7</v>
      </c>
      <c r="I176" s="5" t="n">
        <v>334.4</v>
      </c>
      <c r="K176" s="29" t="n">
        <v>30.008</v>
      </c>
      <c r="L176" s="30" t="n">
        <v>89389</v>
      </c>
    </row>
    <row r="177" customFormat="false" ht="15" hidden="false" customHeight="true" outlineLevel="0" collapsed="false">
      <c r="A177" s="8" t="n">
        <v>175</v>
      </c>
      <c r="B177" s="28" t="n">
        <v>45487</v>
      </c>
      <c r="C177" s="8" t="s">
        <v>3</v>
      </c>
      <c r="D177" s="5" t="n">
        <v>334.4</v>
      </c>
      <c r="E177" s="5" t="n">
        <v>352</v>
      </c>
      <c r="F177" s="5" t="n">
        <v>328.1</v>
      </c>
      <c r="G177" s="5" t="n">
        <v>352</v>
      </c>
      <c r="H177" s="5" t="n">
        <v>334.4</v>
      </c>
      <c r="I177" s="5" t="n">
        <v>334.2</v>
      </c>
      <c r="K177" s="29" t="n">
        <v>35.393</v>
      </c>
      <c r="L177" s="30" t="n">
        <v>105841</v>
      </c>
    </row>
    <row r="178" customFormat="false" ht="15" hidden="false" customHeight="true" outlineLevel="0" collapsed="false">
      <c r="A178" s="8" t="n">
        <v>176</v>
      </c>
      <c r="B178" s="28" t="n">
        <v>45484</v>
      </c>
      <c r="C178" s="8" t="s">
        <v>3</v>
      </c>
      <c r="D178" s="5" t="n">
        <v>334.2</v>
      </c>
      <c r="E178" s="5" t="n">
        <v>340</v>
      </c>
      <c r="F178" s="5" t="n">
        <v>332</v>
      </c>
      <c r="G178" s="5" t="n">
        <v>340</v>
      </c>
      <c r="H178" s="5" t="n">
        <v>334.2</v>
      </c>
      <c r="I178" s="5" t="n">
        <v>338.2</v>
      </c>
      <c r="K178" s="29" t="n">
        <v>60.363</v>
      </c>
      <c r="L178" s="30" t="n">
        <v>180618</v>
      </c>
    </row>
    <row r="179" customFormat="false" ht="15" hidden="false" customHeight="true" outlineLevel="0" collapsed="false">
      <c r="A179" s="8" t="n">
        <v>177</v>
      </c>
      <c r="B179" s="28" t="n">
        <v>45483</v>
      </c>
      <c r="C179" s="8" t="s">
        <v>3</v>
      </c>
      <c r="D179" s="5" t="n">
        <v>338.2</v>
      </c>
      <c r="E179" s="5" t="n">
        <v>344</v>
      </c>
      <c r="F179" s="5" t="n">
        <v>337.2</v>
      </c>
      <c r="G179" s="5" t="n">
        <v>343.7</v>
      </c>
      <c r="H179" s="5" t="n">
        <v>338.2</v>
      </c>
      <c r="I179" s="5" t="n">
        <v>340.3</v>
      </c>
      <c r="K179" s="29" t="n">
        <v>55.57</v>
      </c>
      <c r="L179" s="30" t="n">
        <v>164312</v>
      </c>
    </row>
    <row r="180" customFormat="false" ht="15" hidden="false" customHeight="true" outlineLevel="0" collapsed="false">
      <c r="A180" s="8" t="n">
        <v>178</v>
      </c>
      <c r="B180" s="28" t="n">
        <v>45482</v>
      </c>
      <c r="C180" s="8" t="s">
        <v>3</v>
      </c>
      <c r="D180" s="5" t="n">
        <v>340.3</v>
      </c>
      <c r="E180" s="5" t="n">
        <v>345</v>
      </c>
      <c r="F180" s="5" t="n">
        <v>336.9</v>
      </c>
      <c r="G180" s="5" t="n">
        <v>345</v>
      </c>
      <c r="H180" s="5" t="n">
        <v>340.3</v>
      </c>
      <c r="I180" s="5" t="n">
        <v>344.8</v>
      </c>
      <c r="K180" s="29" t="n">
        <v>106.17</v>
      </c>
      <c r="L180" s="30" t="n">
        <v>311988</v>
      </c>
    </row>
    <row r="181" customFormat="false" ht="15" hidden="false" customHeight="true" outlineLevel="0" collapsed="false">
      <c r="A181" s="8" t="n">
        <v>179</v>
      </c>
      <c r="B181" s="28" t="n">
        <v>45481</v>
      </c>
      <c r="C181" s="8" t="s">
        <v>3</v>
      </c>
      <c r="D181" s="5" t="n">
        <v>344.8</v>
      </c>
      <c r="E181" s="5" t="n">
        <v>354.8</v>
      </c>
      <c r="F181" s="5" t="n">
        <v>338.7</v>
      </c>
      <c r="G181" s="5" t="n">
        <v>350</v>
      </c>
      <c r="H181" s="5" t="n">
        <v>344.8</v>
      </c>
      <c r="I181" s="5" t="n">
        <v>348.8</v>
      </c>
      <c r="K181" s="29" t="n">
        <v>150.524</v>
      </c>
      <c r="L181" s="30" t="n">
        <v>436554</v>
      </c>
    </row>
    <row r="182" customFormat="false" ht="15" hidden="false" customHeight="true" outlineLevel="0" collapsed="false">
      <c r="A182" s="8" t="n">
        <v>180</v>
      </c>
      <c r="B182" s="28" t="n">
        <v>45480</v>
      </c>
      <c r="C182" s="8" t="s">
        <v>3</v>
      </c>
      <c r="D182" s="5" t="n">
        <v>348.8</v>
      </c>
      <c r="E182" s="5" t="n">
        <v>350</v>
      </c>
      <c r="F182" s="5" t="n">
        <v>330.2</v>
      </c>
      <c r="G182" s="5" t="n">
        <v>333.9</v>
      </c>
      <c r="H182" s="5" t="n">
        <v>348.8</v>
      </c>
      <c r="I182" s="5" t="n">
        <v>330.3</v>
      </c>
      <c r="K182" s="29" t="n">
        <v>261.683</v>
      </c>
      <c r="L182" s="30" t="n">
        <v>750238</v>
      </c>
    </row>
    <row r="183" customFormat="false" ht="15" hidden="false" customHeight="true" outlineLevel="0" collapsed="false">
      <c r="A183" s="8" t="n">
        <v>181</v>
      </c>
      <c r="B183" s="28" t="n">
        <v>45477</v>
      </c>
      <c r="C183" s="8" t="s">
        <v>3</v>
      </c>
      <c r="D183" s="5" t="n">
        <v>330.3</v>
      </c>
      <c r="E183" s="5" t="n">
        <v>332.7</v>
      </c>
      <c r="F183" s="5" t="n">
        <v>322.6</v>
      </c>
      <c r="G183" s="5" t="n">
        <v>323</v>
      </c>
      <c r="H183" s="5" t="n">
        <v>330.3</v>
      </c>
      <c r="I183" s="5" t="n">
        <v>321.9</v>
      </c>
      <c r="K183" s="29" t="n">
        <v>121.317</v>
      </c>
      <c r="L183" s="30" t="n">
        <v>367293</v>
      </c>
    </row>
    <row r="184" customFormat="false" ht="15" hidden="false" customHeight="true" outlineLevel="0" collapsed="false">
      <c r="A184" s="8" t="n">
        <v>182</v>
      </c>
      <c r="B184" s="28" t="n">
        <v>45476</v>
      </c>
      <c r="C184" s="8" t="s">
        <v>3</v>
      </c>
      <c r="D184" s="5" t="n">
        <v>321.9</v>
      </c>
      <c r="E184" s="5" t="n">
        <v>323.7</v>
      </c>
      <c r="F184" s="5" t="n">
        <v>320</v>
      </c>
      <c r="G184" s="5" t="n">
        <v>320</v>
      </c>
      <c r="H184" s="5" t="n">
        <v>321.9</v>
      </c>
      <c r="I184" s="5" t="n">
        <v>320.5</v>
      </c>
      <c r="K184" s="29" t="n">
        <v>50.649</v>
      </c>
      <c r="L184" s="30" t="n">
        <v>157344</v>
      </c>
    </row>
    <row r="185" customFormat="false" ht="15" hidden="false" customHeight="true" outlineLevel="0" collapsed="false">
      <c r="A185" s="8" t="n">
        <v>183</v>
      </c>
      <c r="B185" s="28" t="n">
        <v>45475</v>
      </c>
      <c r="C185" s="8" t="s">
        <v>3</v>
      </c>
      <c r="D185" s="5" t="n">
        <v>320.5</v>
      </c>
      <c r="E185" s="5" t="n">
        <v>322.6</v>
      </c>
      <c r="F185" s="5" t="n">
        <v>320</v>
      </c>
      <c r="G185" s="5" t="n">
        <v>321.5</v>
      </c>
      <c r="H185" s="5" t="n">
        <v>320.5</v>
      </c>
      <c r="I185" s="5" t="n">
        <v>322.8</v>
      </c>
      <c r="K185" s="29" t="n">
        <v>77.566</v>
      </c>
      <c r="L185" s="30" t="n">
        <v>242017</v>
      </c>
    </row>
    <row r="186" customFormat="false" ht="15" hidden="false" customHeight="true" outlineLevel="0" collapsed="false">
      <c r="A186" s="8" t="n">
        <v>184</v>
      </c>
      <c r="B186" s="28" t="n">
        <v>45473</v>
      </c>
      <c r="C186" s="8" t="s">
        <v>3</v>
      </c>
      <c r="D186" s="5" t="n">
        <v>322.8</v>
      </c>
      <c r="E186" s="5" t="n">
        <v>324</v>
      </c>
      <c r="F186" s="5" t="n">
        <v>319</v>
      </c>
      <c r="G186" s="5" t="n">
        <v>321.8</v>
      </c>
      <c r="H186" s="5" t="n">
        <v>322.8</v>
      </c>
      <c r="I186" s="5" t="n">
        <v>321.8</v>
      </c>
      <c r="K186" s="29" t="n">
        <v>80.528</v>
      </c>
      <c r="L186" s="30" t="n">
        <v>249466</v>
      </c>
    </row>
    <row r="187" customFormat="false" ht="15" hidden="false" customHeight="true" outlineLevel="0" collapsed="false">
      <c r="A187" s="8" t="n">
        <v>185</v>
      </c>
      <c r="B187" s="28" t="n">
        <v>45470</v>
      </c>
      <c r="C187" s="8" t="s">
        <v>3</v>
      </c>
      <c r="D187" s="5" t="n">
        <v>321.8</v>
      </c>
      <c r="E187" s="5" t="n">
        <v>328.8</v>
      </c>
      <c r="F187" s="5" t="n">
        <v>320.9</v>
      </c>
      <c r="G187" s="5" t="n">
        <v>325.9</v>
      </c>
      <c r="H187" s="5" t="n">
        <v>321.8</v>
      </c>
      <c r="I187" s="5" t="n">
        <v>324.7</v>
      </c>
      <c r="K187" s="29" t="n">
        <v>227.59</v>
      </c>
      <c r="L187" s="30" t="n">
        <v>707241</v>
      </c>
    </row>
    <row r="188" customFormat="false" ht="15" hidden="false" customHeight="true" outlineLevel="0" collapsed="false">
      <c r="A188" s="8" t="n">
        <v>186</v>
      </c>
      <c r="B188" s="28" t="n">
        <v>45469</v>
      </c>
      <c r="C188" s="8" t="s">
        <v>3</v>
      </c>
      <c r="D188" s="5" t="n">
        <v>324.7</v>
      </c>
      <c r="E188" s="5" t="n">
        <v>325.5</v>
      </c>
      <c r="F188" s="5" t="n">
        <v>319.5</v>
      </c>
      <c r="G188" s="5" t="n">
        <v>319.5</v>
      </c>
      <c r="H188" s="5" t="n">
        <v>324.7</v>
      </c>
      <c r="I188" s="5" t="n">
        <v>319.5</v>
      </c>
      <c r="K188" s="29" t="n">
        <v>73.771</v>
      </c>
      <c r="L188" s="30" t="n">
        <v>227198</v>
      </c>
    </row>
    <row r="189" customFormat="false" ht="15" hidden="false" customHeight="true" outlineLevel="0" collapsed="false">
      <c r="A189" s="8" t="n">
        <v>187</v>
      </c>
      <c r="B189" s="28" t="n">
        <v>45468</v>
      </c>
      <c r="C189" s="8" t="s">
        <v>3</v>
      </c>
      <c r="D189" s="5" t="n">
        <v>319.5</v>
      </c>
      <c r="E189" s="5" t="n">
        <v>323</v>
      </c>
      <c r="F189" s="5" t="n">
        <v>319.1</v>
      </c>
      <c r="G189" s="5" t="n">
        <v>322.9</v>
      </c>
      <c r="H189" s="5" t="n">
        <v>319.5</v>
      </c>
      <c r="I189" s="5" t="n">
        <v>320.5</v>
      </c>
      <c r="K189" s="29" t="n">
        <v>99.689</v>
      </c>
      <c r="L189" s="30" t="n">
        <v>312017</v>
      </c>
    </row>
    <row r="190" customFormat="false" ht="15" hidden="false" customHeight="true" outlineLevel="0" collapsed="false">
      <c r="A190" s="8" t="n">
        <v>188</v>
      </c>
      <c r="B190" s="28" t="n">
        <v>45467</v>
      </c>
      <c r="C190" s="8" t="s">
        <v>3</v>
      </c>
      <c r="D190" s="5" t="n">
        <v>320.5</v>
      </c>
      <c r="E190" s="5" t="n">
        <v>335</v>
      </c>
      <c r="F190" s="5" t="n">
        <v>319.1</v>
      </c>
      <c r="G190" s="5" t="n">
        <v>331.8</v>
      </c>
      <c r="H190" s="5" t="n">
        <v>320.5</v>
      </c>
      <c r="I190" s="5" t="n">
        <v>328</v>
      </c>
      <c r="K190" s="29" t="n">
        <v>113.578</v>
      </c>
      <c r="L190" s="30" t="n">
        <v>354379</v>
      </c>
    </row>
    <row r="191" customFormat="false" ht="15" hidden="false" customHeight="true" outlineLevel="0" collapsed="false">
      <c r="A191" s="8" t="n">
        <v>189</v>
      </c>
      <c r="B191" s="28" t="n">
        <v>45466</v>
      </c>
      <c r="C191" s="8" t="s">
        <v>3</v>
      </c>
      <c r="D191" s="5" t="n">
        <v>328</v>
      </c>
      <c r="E191" s="5" t="n">
        <v>332.9</v>
      </c>
      <c r="F191" s="5" t="n">
        <v>324</v>
      </c>
      <c r="G191" s="5" t="n">
        <v>326.1</v>
      </c>
      <c r="H191" s="5" t="n">
        <v>328</v>
      </c>
      <c r="I191" s="5" t="n">
        <v>325.6</v>
      </c>
      <c r="K191" s="29" t="n">
        <v>110.154</v>
      </c>
      <c r="L191" s="30" t="n">
        <v>335836</v>
      </c>
    </row>
    <row r="192" customFormat="false" ht="15" hidden="false" customHeight="true" outlineLevel="0" collapsed="false">
      <c r="A192" s="8" t="n">
        <v>190</v>
      </c>
      <c r="B192" s="28" t="n">
        <v>45463</v>
      </c>
      <c r="C192" s="8" t="s">
        <v>3</v>
      </c>
      <c r="D192" s="5" t="n">
        <v>325.6</v>
      </c>
      <c r="E192" s="5" t="n">
        <v>329.6</v>
      </c>
      <c r="F192" s="5" t="n">
        <v>321.7</v>
      </c>
      <c r="G192" s="5" t="n">
        <v>321.8</v>
      </c>
      <c r="H192" s="5" t="n">
        <v>325.6</v>
      </c>
      <c r="I192" s="5" t="n">
        <v>321.7</v>
      </c>
      <c r="K192" s="29" t="n">
        <v>58.982</v>
      </c>
      <c r="L192" s="30" t="n">
        <v>181150</v>
      </c>
    </row>
    <row r="193" customFormat="false" ht="15" hidden="false" customHeight="true" outlineLevel="0" collapsed="false">
      <c r="A193" s="8" t="n">
        <v>191</v>
      </c>
      <c r="B193" s="28" t="n">
        <v>45462</v>
      </c>
      <c r="C193" s="8" t="s">
        <v>3</v>
      </c>
      <c r="D193" s="5" t="n">
        <v>321.7</v>
      </c>
      <c r="E193" s="5" t="n">
        <v>323.4</v>
      </c>
      <c r="F193" s="5" t="n">
        <v>319</v>
      </c>
      <c r="G193" s="5" t="n">
        <v>323.4</v>
      </c>
      <c r="H193" s="5" t="n">
        <v>321.7</v>
      </c>
      <c r="I193" s="5" t="n">
        <v>319.7</v>
      </c>
      <c r="K193" s="29" t="n">
        <v>12.199</v>
      </c>
      <c r="L193" s="30" t="n">
        <v>37921</v>
      </c>
    </row>
    <row r="194" customFormat="false" ht="15" hidden="false" customHeight="true" outlineLevel="0" collapsed="false">
      <c r="A194" s="8" t="n">
        <v>192</v>
      </c>
      <c r="B194" s="28" t="n">
        <v>45456</v>
      </c>
      <c r="C194" s="8" t="s">
        <v>3</v>
      </c>
      <c r="D194" s="5" t="n">
        <v>319.7</v>
      </c>
      <c r="E194" s="5" t="n">
        <v>322.9</v>
      </c>
      <c r="F194" s="5" t="n">
        <v>317.9</v>
      </c>
      <c r="G194" s="5" t="n">
        <v>322.9</v>
      </c>
      <c r="H194" s="5" t="n">
        <v>319.7</v>
      </c>
      <c r="I194" s="5" t="n">
        <v>319</v>
      </c>
      <c r="K194" s="29" t="n">
        <v>22.877</v>
      </c>
      <c r="L194" s="30" t="n">
        <v>71559</v>
      </c>
    </row>
    <row r="195" customFormat="false" ht="15" hidden="false" customHeight="true" outlineLevel="0" collapsed="false">
      <c r="A195" s="8" t="n">
        <v>193</v>
      </c>
      <c r="B195" s="28" t="n">
        <v>45455</v>
      </c>
      <c r="C195" s="8" t="s">
        <v>3</v>
      </c>
      <c r="D195" s="5" t="n">
        <v>319</v>
      </c>
      <c r="E195" s="5" t="n">
        <v>325.9</v>
      </c>
      <c r="F195" s="5" t="n">
        <v>317.7</v>
      </c>
      <c r="G195" s="5" t="n">
        <v>323.4</v>
      </c>
      <c r="H195" s="5" t="n">
        <v>319</v>
      </c>
      <c r="I195" s="5" t="n">
        <v>321.2</v>
      </c>
      <c r="K195" s="29" t="n">
        <v>61.671</v>
      </c>
      <c r="L195" s="30" t="n">
        <v>193325</v>
      </c>
    </row>
    <row r="196" customFormat="false" ht="15" hidden="false" customHeight="true" outlineLevel="0" collapsed="false">
      <c r="A196" s="8" t="n">
        <v>194</v>
      </c>
      <c r="B196" s="28" t="n">
        <v>45454</v>
      </c>
      <c r="C196" s="8" t="s">
        <v>3</v>
      </c>
      <c r="D196" s="5" t="n">
        <v>321.2</v>
      </c>
      <c r="E196" s="5" t="n">
        <v>326</v>
      </c>
      <c r="F196" s="5" t="n">
        <v>320</v>
      </c>
      <c r="G196" s="5" t="n">
        <v>324</v>
      </c>
      <c r="H196" s="5" t="n">
        <v>321.2</v>
      </c>
      <c r="I196" s="5" t="n">
        <v>323.6</v>
      </c>
      <c r="K196" s="29" t="n">
        <v>131.124</v>
      </c>
      <c r="L196" s="30" t="n">
        <v>408233</v>
      </c>
    </row>
    <row r="197" customFormat="false" ht="15" hidden="false" customHeight="true" outlineLevel="0" collapsed="false">
      <c r="A197" s="8" t="n">
        <v>195</v>
      </c>
      <c r="B197" s="28" t="n">
        <v>45453</v>
      </c>
      <c r="C197" s="8" t="s">
        <v>3</v>
      </c>
      <c r="D197" s="5" t="n">
        <v>323.6</v>
      </c>
      <c r="E197" s="5" t="n">
        <v>330</v>
      </c>
      <c r="F197" s="5" t="n">
        <v>321.5</v>
      </c>
      <c r="G197" s="5" t="n">
        <v>330</v>
      </c>
      <c r="H197" s="5" t="n">
        <v>323.6</v>
      </c>
      <c r="I197" s="5" t="n">
        <v>329.4</v>
      </c>
      <c r="K197" s="29" t="n">
        <v>45.966</v>
      </c>
      <c r="L197" s="30" t="n">
        <v>142046</v>
      </c>
    </row>
    <row r="198" customFormat="false" ht="15" hidden="false" customHeight="true" outlineLevel="0" collapsed="false">
      <c r="A198" s="8" t="n">
        <v>196</v>
      </c>
      <c r="B198" s="28" t="n">
        <v>45452</v>
      </c>
      <c r="C198" s="8" t="s">
        <v>3</v>
      </c>
      <c r="D198" s="5" t="n">
        <v>329.4</v>
      </c>
      <c r="E198" s="5" t="n">
        <v>334</v>
      </c>
      <c r="F198" s="5" t="n">
        <v>320.6</v>
      </c>
      <c r="G198" s="5" t="n">
        <v>328</v>
      </c>
      <c r="H198" s="5" t="n">
        <v>329.4</v>
      </c>
      <c r="I198" s="5" t="n">
        <v>326.5</v>
      </c>
      <c r="K198" s="29" t="n">
        <v>64.164</v>
      </c>
      <c r="L198" s="30" t="n">
        <v>194791</v>
      </c>
    </row>
    <row r="199" customFormat="false" ht="15" hidden="false" customHeight="true" outlineLevel="0" collapsed="false">
      <c r="A199" s="8" t="n">
        <v>197</v>
      </c>
      <c r="B199" s="28" t="n">
        <v>45449</v>
      </c>
      <c r="C199" s="8" t="s">
        <v>3</v>
      </c>
      <c r="D199" s="5" t="n">
        <v>326.5</v>
      </c>
      <c r="E199" s="5" t="n">
        <v>328.7</v>
      </c>
      <c r="F199" s="5" t="n">
        <v>317.6</v>
      </c>
      <c r="G199" s="5" t="n">
        <v>324.4</v>
      </c>
      <c r="H199" s="5" t="n">
        <v>326.5</v>
      </c>
      <c r="I199" s="5" t="n">
        <v>324.4</v>
      </c>
      <c r="K199" s="29" t="n">
        <v>569.931</v>
      </c>
      <c r="L199" s="30" t="n">
        <v>1745578</v>
      </c>
    </row>
    <row r="200" customFormat="false" ht="15" hidden="false" customHeight="true" outlineLevel="0" collapsed="false">
      <c r="A200" s="8" t="n">
        <v>198</v>
      </c>
      <c r="B200" s="28" t="n">
        <v>45448</v>
      </c>
      <c r="C200" s="8" t="s">
        <v>3</v>
      </c>
      <c r="D200" s="5" t="n">
        <v>324.4</v>
      </c>
      <c r="E200" s="5" t="n">
        <v>327.7</v>
      </c>
      <c r="F200" s="5" t="n">
        <v>323</v>
      </c>
      <c r="G200" s="5" t="n">
        <v>325.5</v>
      </c>
      <c r="H200" s="5" t="n">
        <v>324.4</v>
      </c>
      <c r="I200" s="5" t="n">
        <v>325.5</v>
      </c>
      <c r="K200" s="29" t="n">
        <v>16.241</v>
      </c>
      <c r="L200" s="30" t="n">
        <v>50066</v>
      </c>
    </row>
    <row r="201" customFormat="false" ht="15" hidden="false" customHeight="true" outlineLevel="0" collapsed="false">
      <c r="A201" s="8" t="n">
        <v>199</v>
      </c>
      <c r="B201" s="28" t="n">
        <v>45447</v>
      </c>
      <c r="C201" s="8" t="s">
        <v>3</v>
      </c>
      <c r="D201" s="5" t="n">
        <v>325.5</v>
      </c>
      <c r="E201" s="5" t="n">
        <v>330.9</v>
      </c>
      <c r="F201" s="5" t="n">
        <v>322.3</v>
      </c>
      <c r="G201" s="5" t="n">
        <v>329.7</v>
      </c>
      <c r="H201" s="5" t="n">
        <v>325.5</v>
      </c>
      <c r="I201" s="5" t="n">
        <v>329.6</v>
      </c>
      <c r="K201" s="29" t="n">
        <v>30.863</v>
      </c>
      <c r="L201" s="30" t="n">
        <v>94818</v>
      </c>
    </row>
    <row r="202" customFormat="false" ht="15" hidden="false" customHeight="true" outlineLevel="0" collapsed="false">
      <c r="A202" s="8" t="n">
        <v>200</v>
      </c>
      <c r="B202" s="28" t="n">
        <v>45446</v>
      </c>
      <c r="C202" s="8" t="s">
        <v>3</v>
      </c>
      <c r="D202" s="5" t="n">
        <v>329.6</v>
      </c>
      <c r="E202" s="5" t="n">
        <v>333.4</v>
      </c>
      <c r="F202" s="5" t="n">
        <v>326.1</v>
      </c>
      <c r="G202" s="5" t="n">
        <v>330</v>
      </c>
      <c r="H202" s="5" t="n">
        <v>329.6</v>
      </c>
      <c r="I202" s="5" t="n">
        <v>329.9</v>
      </c>
      <c r="K202" s="29" t="n">
        <v>14.246</v>
      </c>
      <c r="L202" s="30" t="n">
        <v>43222</v>
      </c>
    </row>
    <row r="203" customFormat="false" ht="15" hidden="false" customHeight="true" outlineLevel="0" collapsed="false">
      <c r="A203" s="8" t="n">
        <v>201</v>
      </c>
      <c r="B203" s="28" t="n">
        <v>45445</v>
      </c>
      <c r="C203" s="8" t="s">
        <v>3</v>
      </c>
      <c r="D203" s="5" t="n">
        <v>329.9</v>
      </c>
      <c r="E203" s="5" t="n">
        <v>333.7</v>
      </c>
      <c r="F203" s="5" t="n">
        <v>327</v>
      </c>
      <c r="G203" s="5" t="n">
        <v>328.8</v>
      </c>
      <c r="H203" s="5" t="n">
        <v>329.9</v>
      </c>
      <c r="I203" s="5" t="n">
        <v>328.8</v>
      </c>
      <c r="K203" s="29" t="n">
        <v>23.963</v>
      </c>
      <c r="L203" s="30" t="n">
        <v>72636</v>
      </c>
    </row>
    <row r="204" customFormat="false" ht="15" hidden="false" customHeight="true" outlineLevel="0" collapsed="false">
      <c r="A204" s="8" t="n">
        <v>202</v>
      </c>
      <c r="B204" s="28" t="n">
        <v>45442</v>
      </c>
      <c r="C204" s="8" t="s">
        <v>3</v>
      </c>
      <c r="D204" s="5" t="n">
        <v>328.8</v>
      </c>
      <c r="E204" s="5" t="n">
        <v>329.8</v>
      </c>
      <c r="F204" s="5" t="n">
        <v>320.3</v>
      </c>
      <c r="G204" s="5" t="n">
        <v>320.3</v>
      </c>
      <c r="H204" s="5" t="n">
        <v>328.8</v>
      </c>
      <c r="I204" s="5" t="n">
        <v>322.9</v>
      </c>
      <c r="K204" s="29" t="n">
        <v>44.631</v>
      </c>
      <c r="L204" s="30" t="n">
        <v>135739</v>
      </c>
    </row>
    <row r="205" customFormat="false" ht="15" hidden="false" customHeight="true" outlineLevel="0" collapsed="false">
      <c r="A205" s="8" t="n">
        <v>203</v>
      </c>
      <c r="B205" s="28" t="n">
        <v>45441</v>
      </c>
      <c r="C205" s="8" t="s">
        <v>3</v>
      </c>
      <c r="D205" s="5" t="n">
        <v>322.9</v>
      </c>
      <c r="E205" s="5" t="n">
        <v>329</v>
      </c>
      <c r="F205" s="5" t="n">
        <v>322.5</v>
      </c>
      <c r="G205" s="5" t="n">
        <v>329</v>
      </c>
      <c r="H205" s="5" t="n">
        <v>322.9</v>
      </c>
      <c r="I205" s="5" t="n">
        <v>328.7</v>
      </c>
      <c r="K205" s="29" t="n">
        <v>18.76</v>
      </c>
      <c r="L205" s="30" t="n">
        <v>58098</v>
      </c>
    </row>
    <row r="206" customFormat="false" ht="15" hidden="false" customHeight="true" outlineLevel="0" collapsed="false">
      <c r="A206" s="8" t="n">
        <v>204</v>
      </c>
      <c r="B206" s="28" t="n">
        <v>45440</v>
      </c>
      <c r="C206" s="8" t="s">
        <v>3</v>
      </c>
      <c r="D206" s="5" t="n">
        <v>328.7</v>
      </c>
      <c r="E206" s="5" t="n">
        <v>337.5</v>
      </c>
      <c r="F206" s="5" t="n">
        <v>324.5</v>
      </c>
      <c r="G206" s="5" t="n">
        <v>324.8</v>
      </c>
      <c r="H206" s="5" t="n">
        <v>328.7</v>
      </c>
      <c r="I206" s="5" t="n">
        <v>321.7</v>
      </c>
      <c r="K206" s="29" t="n">
        <v>72.852</v>
      </c>
      <c r="L206" s="30" t="n">
        <v>221636</v>
      </c>
    </row>
    <row r="207" customFormat="false" ht="15" hidden="false" customHeight="true" outlineLevel="0" collapsed="false">
      <c r="A207" s="8" t="n">
        <v>205</v>
      </c>
      <c r="B207" s="28" t="n">
        <v>45439</v>
      </c>
      <c r="C207" s="8" t="s">
        <v>3</v>
      </c>
      <c r="D207" s="5" t="n">
        <v>321.7</v>
      </c>
      <c r="E207" s="5" t="n">
        <v>322.6</v>
      </c>
      <c r="F207" s="5" t="n">
        <v>315</v>
      </c>
      <c r="G207" s="5" t="n">
        <v>316.5</v>
      </c>
      <c r="H207" s="5" t="n">
        <v>321.7</v>
      </c>
      <c r="I207" s="5" t="n">
        <v>315.9</v>
      </c>
      <c r="K207" s="29" t="n">
        <v>45.017</v>
      </c>
      <c r="L207" s="30" t="n">
        <v>139936</v>
      </c>
    </row>
    <row r="208" customFormat="false" ht="15" hidden="false" customHeight="true" outlineLevel="0" collapsed="false">
      <c r="A208" s="8" t="n">
        <v>206</v>
      </c>
      <c r="B208" s="28" t="n">
        <v>45438</v>
      </c>
      <c r="C208" s="8" t="s">
        <v>3</v>
      </c>
      <c r="D208" s="5" t="n">
        <v>315.9</v>
      </c>
      <c r="E208" s="5" t="n">
        <v>328</v>
      </c>
      <c r="F208" s="5" t="n">
        <v>315.4</v>
      </c>
      <c r="G208" s="5" t="n">
        <v>328</v>
      </c>
      <c r="H208" s="5" t="n">
        <v>315.9</v>
      </c>
      <c r="I208" s="5" t="n">
        <v>325.1</v>
      </c>
      <c r="K208" s="29" t="n">
        <v>151.513</v>
      </c>
      <c r="L208" s="30" t="n">
        <v>479623</v>
      </c>
    </row>
    <row r="209" customFormat="false" ht="15" hidden="false" customHeight="true" outlineLevel="0" collapsed="false">
      <c r="A209" s="8" t="n">
        <v>207</v>
      </c>
      <c r="B209" s="28" t="n">
        <v>45435</v>
      </c>
      <c r="C209" s="8" t="s">
        <v>3</v>
      </c>
      <c r="D209" s="5" t="n">
        <v>325.1</v>
      </c>
      <c r="E209" s="5" t="n">
        <v>337.2</v>
      </c>
      <c r="F209" s="5" t="n">
        <v>324.1</v>
      </c>
      <c r="G209" s="5" t="n">
        <v>336</v>
      </c>
      <c r="H209" s="5" t="n">
        <v>325.1</v>
      </c>
      <c r="I209" s="5" t="n">
        <v>333.7</v>
      </c>
      <c r="K209" s="29" t="n">
        <v>49.444</v>
      </c>
      <c r="L209" s="30" t="n">
        <v>152090</v>
      </c>
    </row>
    <row r="210" customFormat="false" ht="15" hidden="false" customHeight="true" outlineLevel="0" collapsed="false">
      <c r="A210" s="8" t="n">
        <v>208</v>
      </c>
      <c r="B210" s="28" t="n">
        <v>45433</v>
      </c>
      <c r="C210" s="8" t="s">
        <v>3</v>
      </c>
      <c r="D210" s="5" t="n">
        <v>333.7</v>
      </c>
      <c r="E210" s="5" t="n">
        <v>344.9</v>
      </c>
      <c r="F210" s="5" t="n">
        <v>332</v>
      </c>
      <c r="G210" s="5" t="n">
        <v>332</v>
      </c>
      <c r="H210" s="5" t="n">
        <v>333.7</v>
      </c>
      <c r="I210" s="5" t="n">
        <v>331.2</v>
      </c>
      <c r="K210" s="29" t="n">
        <v>29.222</v>
      </c>
      <c r="L210" s="30" t="n">
        <v>87570</v>
      </c>
    </row>
    <row r="211" customFormat="false" ht="15" hidden="false" customHeight="true" outlineLevel="0" collapsed="false">
      <c r="A211" s="8" t="n">
        <v>209</v>
      </c>
      <c r="B211" s="28" t="n">
        <v>45432</v>
      </c>
      <c r="C211" s="8" t="s">
        <v>3</v>
      </c>
      <c r="D211" s="5" t="n">
        <v>331.2</v>
      </c>
      <c r="E211" s="5" t="n">
        <v>336</v>
      </c>
      <c r="F211" s="5" t="n">
        <v>331.2</v>
      </c>
      <c r="G211" s="5" t="n">
        <v>336</v>
      </c>
      <c r="H211" s="5" t="n">
        <v>331.2</v>
      </c>
      <c r="I211" s="5" t="n">
        <v>341.4</v>
      </c>
      <c r="K211" s="29" t="n">
        <v>39.797</v>
      </c>
      <c r="L211" s="30" t="n">
        <v>120161</v>
      </c>
    </row>
    <row r="212" customFormat="false" ht="15" hidden="false" customHeight="true" outlineLevel="0" collapsed="false">
      <c r="A212" s="8" t="n">
        <v>210</v>
      </c>
      <c r="B212" s="28" t="n">
        <v>45431</v>
      </c>
      <c r="C212" s="8" t="s">
        <v>3</v>
      </c>
      <c r="D212" s="5" t="n">
        <v>341.4</v>
      </c>
      <c r="E212" s="5" t="n">
        <v>352.1</v>
      </c>
      <c r="F212" s="5" t="n">
        <v>341.4</v>
      </c>
      <c r="G212" s="5" t="n">
        <v>351.9</v>
      </c>
      <c r="H212" s="5" t="n">
        <v>341.4</v>
      </c>
      <c r="I212" s="5" t="n">
        <v>351.9</v>
      </c>
      <c r="K212" s="29" t="n">
        <v>39.403</v>
      </c>
      <c r="L212" s="30" t="n">
        <v>115416</v>
      </c>
    </row>
    <row r="213" customFormat="false" ht="15" hidden="false" customHeight="true" outlineLevel="0" collapsed="false">
      <c r="A213" s="8" t="n">
        <v>211</v>
      </c>
      <c r="B213" s="28" t="n">
        <v>45428</v>
      </c>
      <c r="C213" s="8" t="s">
        <v>3</v>
      </c>
      <c r="D213" s="5" t="n">
        <v>351.9</v>
      </c>
      <c r="E213" s="5" t="n">
        <v>360.2</v>
      </c>
      <c r="F213" s="5" t="n">
        <v>347.4</v>
      </c>
      <c r="G213" s="5" t="n">
        <v>357</v>
      </c>
      <c r="H213" s="5" t="n">
        <v>351.9</v>
      </c>
      <c r="I213" s="5" t="n">
        <v>353.8</v>
      </c>
      <c r="K213" s="29" t="n">
        <v>41.156</v>
      </c>
      <c r="L213" s="30" t="n">
        <v>116955</v>
      </c>
    </row>
    <row r="214" customFormat="false" ht="15" hidden="false" customHeight="true" outlineLevel="0" collapsed="false">
      <c r="A214" s="8" t="n">
        <v>212</v>
      </c>
      <c r="B214" s="28" t="n">
        <v>45427</v>
      </c>
      <c r="C214" s="8" t="s">
        <v>3</v>
      </c>
      <c r="D214" s="5" t="n">
        <v>353.8</v>
      </c>
      <c r="E214" s="5" t="n">
        <v>372.9</v>
      </c>
      <c r="F214" s="5" t="n">
        <v>352.8</v>
      </c>
      <c r="G214" s="5" t="n">
        <v>370</v>
      </c>
      <c r="H214" s="5" t="n">
        <v>353.8</v>
      </c>
      <c r="I214" s="5" t="n">
        <v>363.3</v>
      </c>
      <c r="K214" s="29" t="n">
        <v>56.911</v>
      </c>
      <c r="L214" s="30" t="n">
        <v>160857</v>
      </c>
    </row>
    <row r="215" customFormat="false" ht="15" hidden="false" customHeight="true" outlineLevel="0" collapsed="false">
      <c r="A215" s="8" t="n">
        <v>213</v>
      </c>
      <c r="B215" s="28" t="n">
        <v>45426</v>
      </c>
      <c r="C215" s="8" t="s">
        <v>3</v>
      </c>
      <c r="D215" s="5" t="n">
        <v>363.3</v>
      </c>
      <c r="E215" s="5" t="n">
        <v>372.9</v>
      </c>
      <c r="F215" s="5" t="n">
        <v>362.2</v>
      </c>
      <c r="G215" s="5" t="n">
        <v>372</v>
      </c>
      <c r="H215" s="5" t="n">
        <v>363.3</v>
      </c>
      <c r="I215" s="5" t="n">
        <v>372.9</v>
      </c>
      <c r="K215" s="29" t="n">
        <v>41.048</v>
      </c>
      <c r="L215" s="30" t="n">
        <v>112986</v>
      </c>
    </row>
    <row r="216" customFormat="false" ht="15" hidden="false" customHeight="true" outlineLevel="0" collapsed="false">
      <c r="A216" s="8" t="n">
        <v>214</v>
      </c>
      <c r="B216" s="28" t="n">
        <v>45425</v>
      </c>
      <c r="C216" s="8" t="s">
        <v>3</v>
      </c>
      <c r="D216" s="5" t="n">
        <v>372.9</v>
      </c>
      <c r="E216" s="5" t="n">
        <v>378.9</v>
      </c>
      <c r="F216" s="5" t="n">
        <v>372</v>
      </c>
      <c r="G216" s="5" t="n">
        <v>377</v>
      </c>
      <c r="H216" s="5" t="n">
        <v>372.9</v>
      </c>
      <c r="I216" s="5" t="n">
        <v>376.4</v>
      </c>
      <c r="K216" s="29" t="n">
        <v>19.713</v>
      </c>
      <c r="L216" s="30" t="n">
        <v>52863</v>
      </c>
    </row>
    <row r="217" customFormat="false" ht="15" hidden="false" customHeight="true" outlineLevel="0" collapsed="false">
      <c r="A217" s="8" t="n">
        <v>215</v>
      </c>
      <c r="B217" s="28" t="n">
        <v>45424</v>
      </c>
      <c r="C217" s="8" t="s">
        <v>3</v>
      </c>
      <c r="D217" s="5" t="n">
        <v>376.4</v>
      </c>
      <c r="E217" s="5" t="n">
        <v>378.5</v>
      </c>
      <c r="F217" s="5" t="n">
        <v>375.1</v>
      </c>
      <c r="G217" s="5" t="n">
        <v>375.5</v>
      </c>
      <c r="H217" s="5" t="n">
        <v>376.4</v>
      </c>
      <c r="I217" s="5" t="n">
        <v>375</v>
      </c>
      <c r="K217" s="29" t="n">
        <v>22.911</v>
      </c>
      <c r="L217" s="30" t="n">
        <v>60869</v>
      </c>
    </row>
    <row r="218" customFormat="false" ht="15" hidden="false" customHeight="true" outlineLevel="0" collapsed="false">
      <c r="A218" s="8" t="n">
        <v>216</v>
      </c>
      <c r="B218" s="28" t="n">
        <v>45421</v>
      </c>
      <c r="C218" s="8" t="s">
        <v>3</v>
      </c>
      <c r="D218" s="5" t="n">
        <v>375</v>
      </c>
      <c r="E218" s="5" t="n">
        <v>379.9</v>
      </c>
      <c r="F218" s="5" t="n">
        <v>370</v>
      </c>
      <c r="G218" s="5" t="n">
        <v>376</v>
      </c>
      <c r="H218" s="5" t="n">
        <v>375</v>
      </c>
      <c r="I218" s="5" t="n">
        <v>376</v>
      </c>
      <c r="K218" s="29" t="n">
        <v>34.884</v>
      </c>
      <c r="L218" s="30" t="n">
        <v>93024</v>
      </c>
    </row>
    <row r="219" customFormat="false" ht="15" hidden="false" customHeight="true" outlineLevel="0" collapsed="false">
      <c r="A219" s="8" t="n">
        <v>217</v>
      </c>
      <c r="B219" s="28" t="n">
        <v>45420</v>
      </c>
      <c r="C219" s="8" t="s">
        <v>3</v>
      </c>
      <c r="D219" s="5" t="n">
        <v>376</v>
      </c>
      <c r="E219" s="5" t="n">
        <v>379.7</v>
      </c>
      <c r="F219" s="5" t="n">
        <v>374</v>
      </c>
      <c r="G219" s="5" t="n">
        <v>375</v>
      </c>
      <c r="H219" s="5" t="n">
        <v>376</v>
      </c>
      <c r="I219" s="5" t="n">
        <v>373.7</v>
      </c>
      <c r="K219" s="29" t="n">
        <v>40.32</v>
      </c>
      <c r="L219" s="30" t="n">
        <v>107235</v>
      </c>
    </row>
    <row r="220" customFormat="false" ht="15" hidden="false" customHeight="true" outlineLevel="0" collapsed="false">
      <c r="A220" s="8" t="n">
        <v>218</v>
      </c>
      <c r="B220" s="28" t="n">
        <v>45419</v>
      </c>
      <c r="C220" s="8" t="s">
        <v>3</v>
      </c>
      <c r="D220" s="5" t="n">
        <v>373.7</v>
      </c>
      <c r="E220" s="5" t="n">
        <v>381.6</v>
      </c>
      <c r="F220" s="5" t="n">
        <v>370</v>
      </c>
      <c r="G220" s="5" t="n">
        <v>381.6</v>
      </c>
      <c r="H220" s="5" t="n">
        <v>373.7</v>
      </c>
      <c r="I220" s="5" t="n">
        <v>377.7</v>
      </c>
      <c r="K220" s="29" t="n">
        <v>60.337</v>
      </c>
      <c r="L220" s="30" t="n">
        <v>161459</v>
      </c>
    </row>
    <row r="221" customFormat="false" ht="15" hidden="false" customHeight="true" outlineLevel="0" collapsed="false">
      <c r="A221" s="8" t="n">
        <v>219</v>
      </c>
      <c r="B221" s="28" t="n">
        <v>45418</v>
      </c>
      <c r="C221" s="8" t="s">
        <v>3</v>
      </c>
      <c r="D221" s="5" t="n">
        <v>377.7</v>
      </c>
      <c r="E221" s="5" t="n">
        <v>382.5</v>
      </c>
      <c r="F221" s="5" t="n">
        <v>376.5</v>
      </c>
      <c r="G221" s="5" t="n">
        <v>381.1</v>
      </c>
      <c r="H221" s="5" t="n">
        <v>377.7</v>
      </c>
      <c r="I221" s="5" t="n">
        <v>378.8</v>
      </c>
      <c r="K221" s="29" t="n">
        <v>40.639</v>
      </c>
      <c r="L221" s="30" t="n">
        <v>107595</v>
      </c>
    </row>
    <row r="222" customFormat="false" ht="15" hidden="false" customHeight="true" outlineLevel="0" collapsed="false">
      <c r="A222" s="8" t="n">
        <v>220</v>
      </c>
      <c r="B222" s="28" t="n">
        <v>45417</v>
      </c>
      <c r="C222" s="8" t="s">
        <v>3</v>
      </c>
      <c r="D222" s="5" t="n">
        <v>378.8</v>
      </c>
      <c r="E222" s="5" t="n">
        <v>384.8</v>
      </c>
      <c r="F222" s="5" t="n">
        <v>370</v>
      </c>
      <c r="G222" s="5" t="n">
        <v>371</v>
      </c>
      <c r="H222" s="5" t="n">
        <v>378.8</v>
      </c>
      <c r="I222" s="5" t="n">
        <v>369</v>
      </c>
      <c r="K222" s="29" t="n">
        <v>21.802</v>
      </c>
      <c r="L222" s="30" t="n">
        <v>57556</v>
      </c>
    </row>
    <row r="223" customFormat="false" ht="15" hidden="false" customHeight="true" outlineLevel="0" collapsed="false">
      <c r="A223" s="8" t="n">
        <v>221</v>
      </c>
      <c r="B223" s="28" t="n">
        <v>45414</v>
      </c>
      <c r="C223" s="8" t="s">
        <v>3</v>
      </c>
      <c r="D223" s="5" t="n">
        <v>369</v>
      </c>
      <c r="E223" s="5" t="n">
        <v>372</v>
      </c>
      <c r="F223" s="5" t="n">
        <v>368.1</v>
      </c>
      <c r="G223" s="5" t="n">
        <v>372</v>
      </c>
      <c r="H223" s="5" t="n">
        <v>369</v>
      </c>
      <c r="I223" s="5" t="n">
        <v>367.9</v>
      </c>
      <c r="K223" s="29" t="n">
        <v>20.74</v>
      </c>
      <c r="L223" s="30" t="n">
        <v>56207</v>
      </c>
    </row>
    <row r="224" customFormat="false" ht="15" hidden="false" customHeight="true" outlineLevel="0" collapsed="false">
      <c r="A224" s="8" t="n">
        <v>222</v>
      </c>
      <c r="B224" s="28" t="n">
        <v>45412</v>
      </c>
      <c r="C224" s="8" t="s">
        <v>3</v>
      </c>
      <c r="D224" s="5" t="n">
        <v>367.9</v>
      </c>
      <c r="E224" s="5" t="n">
        <v>374</v>
      </c>
      <c r="F224" s="5" t="n">
        <v>366.9</v>
      </c>
      <c r="G224" s="5" t="n">
        <v>374</v>
      </c>
      <c r="H224" s="5" t="n">
        <v>367.9</v>
      </c>
      <c r="I224" s="5" t="n">
        <v>374.4</v>
      </c>
      <c r="K224" s="29" t="n">
        <v>33.39</v>
      </c>
      <c r="L224" s="30" t="n">
        <v>90757</v>
      </c>
    </row>
    <row r="225" customFormat="false" ht="15" hidden="false" customHeight="true" outlineLevel="0" collapsed="false">
      <c r="A225" s="8" t="n">
        <v>223</v>
      </c>
      <c r="B225" s="28" t="n">
        <v>45411</v>
      </c>
      <c r="C225" s="8" t="s">
        <v>3</v>
      </c>
      <c r="D225" s="5" t="n">
        <v>374.4</v>
      </c>
      <c r="E225" s="5" t="n">
        <v>387</v>
      </c>
      <c r="F225" s="5" t="n">
        <v>373.7</v>
      </c>
      <c r="G225" s="5" t="n">
        <v>385.2</v>
      </c>
      <c r="H225" s="5" t="n">
        <v>374.4</v>
      </c>
      <c r="I225" s="5" t="n">
        <v>385.2</v>
      </c>
      <c r="K225" s="29" t="n">
        <v>49.808</v>
      </c>
      <c r="L225" s="30" t="n">
        <v>133034</v>
      </c>
    </row>
    <row r="226" customFormat="false" ht="15" hidden="false" customHeight="true" outlineLevel="0" collapsed="false">
      <c r="A226" s="8" t="n">
        <v>224</v>
      </c>
      <c r="B226" s="28" t="n">
        <v>45410</v>
      </c>
      <c r="C226" s="8" t="s">
        <v>3</v>
      </c>
      <c r="D226" s="5" t="n">
        <v>385.2</v>
      </c>
      <c r="E226" s="5" t="n">
        <v>387.9</v>
      </c>
      <c r="F226" s="5" t="n">
        <v>364</v>
      </c>
      <c r="G226" s="5" t="n">
        <v>365</v>
      </c>
      <c r="H226" s="5" t="n">
        <v>385.2</v>
      </c>
      <c r="I226" s="5" t="n">
        <v>364.5</v>
      </c>
      <c r="K226" s="29" t="n">
        <v>35.688</v>
      </c>
      <c r="L226" s="30" t="n">
        <v>92649</v>
      </c>
    </row>
    <row r="227" customFormat="false" ht="15" hidden="false" customHeight="true" outlineLevel="0" collapsed="false">
      <c r="A227" s="8" t="n">
        <v>225</v>
      </c>
      <c r="B227" s="28" t="n">
        <v>45407</v>
      </c>
      <c r="C227" s="8" t="s">
        <v>3</v>
      </c>
      <c r="D227" s="5" t="n">
        <v>364.5</v>
      </c>
      <c r="E227" s="5" t="n">
        <v>375</v>
      </c>
      <c r="F227" s="5" t="n">
        <v>362.3</v>
      </c>
      <c r="G227" s="5" t="n">
        <v>370.1</v>
      </c>
      <c r="H227" s="5" t="n">
        <v>364.5</v>
      </c>
      <c r="I227" s="5" t="n">
        <v>373.1</v>
      </c>
      <c r="K227" s="29" t="n">
        <v>37.218</v>
      </c>
      <c r="L227" s="30" t="n">
        <v>102106</v>
      </c>
    </row>
    <row r="228" customFormat="false" ht="15" hidden="false" customHeight="true" outlineLevel="0" collapsed="false">
      <c r="A228" s="8" t="n">
        <v>226</v>
      </c>
      <c r="B228" s="28" t="n">
        <v>45406</v>
      </c>
      <c r="C228" s="8" t="s">
        <v>3</v>
      </c>
      <c r="D228" s="5" t="n">
        <v>373.1</v>
      </c>
      <c r="E228" s="5" t="n">
        <v>388.7</v>
      </c>
      <c r="F228" s="5" t="n">
        <v>370.1</v>
      </c>
      <c r="G228" s="5" t="n">
        <v>388.7</v>
      </c>
      <c r="H228" s="5" t="n">
        <v>373.1</v>
      </c>
      <c r="I228" s="5" t="n">
        <v>385.8</v>
      </c>
      <c r="K228" s="29" t="n">
        <v>52.146</v>
      </c>
      <c r="L228" s="30" t="n">
        <v>139764</v>
      </c>
    </row>
    <row r="229" customFormat="false" ht="15" hidden="false" customHeight="true" outlineLevel="0" collapsed="false">
      <c r="A229" s="8" t="n">
        <v>227</v>
      </c>
      <c r="B229" s="28" t="n">
        <v>45405</v>
      </c>
      <c r="C229" s="8" t="s">
        <v>3</v>
      </c>
      <c r="D229" s="5" t="n">
        <v>385.8</v>
      </c>
      <c r="E229" s="5" t="n">
        <v>394</v>
      </c>
      <c r="F229" s="5" t="n">
        <v>384.4</v>
      </c>
      <c r="G229" s="5" t="n">
        <v>393.9</v>
      </c>
      <c r="H229" s="5" t="n">
        <v>385.8</v>
      </c>
      <c r="I229" s="5" t="n">
        <v>390.3</v>
      </c>
      <c r="K229" s="29" t="n">
        <v>37.44</v>
      </c>
      <c r="L229" s="30" t="n">
        <v>97044</v>
      </c>
    </row>
    <row r="230" customFormat="false" ht="15" hidden="false" customHeight="true" outlineLevel="0" collapsed="false">
      <c r="A230" s="8" t="n">
        <v>228</v>
      </c>
      <c r="B230" s="28" t="n">
        <v>45404</v>
      </c>
      <c r="C230" s="8" t="s">
        <v>3</v>
      </c>
      <c r="D230" s="5" t="n">
        <v>390.3</v>
      </c>
      <c r="E230" s="5" t="n">
        <v>394</v>
      </c>
      <c r="F230" s="5" t="n">
        <v>389</v>
      </c>
      <c r="G230" s="5" t="n">
        <v>389.9</v>
      </c>
      <c r="H230" s="5" t="n">
        <v>390.3</v>
      </c>
      <c r="I230" s="5" t="n">
        <v>389.8</v>
      </c>
      <c r="K230" s="29" t="n">
        <v>43.764</v>
      </c>
      <c r="L230" s="30" t="n">
        <v>112129</v>
      </c>
    </row>
    <row r="231" customFormat="false" ht="15" hidden="false" customHeight="true" outlineLevel="0" collapsed="false">
      <c r="A231" s="8" t="n">
        <v>229</v>
      </c>
      <c r="B231" s="28" t="n">
        <v>45403</v>
      </c>
      <c r="C231" s="8" t="s">
        <v>3</v>
      </c>
      <c r="D231" s="5" t="n">
        <v>389.8</v>
      </c>
      <c r="E231" s="5" t="n">
        <v>398.7</v>
      </c>
      <c r="F231" s="5" t="n">
        <v>389.3</v>
      </c>
      <c r="G231" s="5" t="n">
        <v>393.8</v>
      </c>
      <c r="H231" s="5" t="n">
        <v>389.8</v>
      </c>
      <c r="I231" s="5" t="n">
        <v>393.8</v>
      </c>
      <c r="K231" s="29" t="n">
        <v>20.104</v>
      </c>
      <c r="L231" s="30" t="n">
        <v>51574</v>
      </c>
    </row>
    <row r="232" customFormat="false" ht="15" hidden="false" customHeight="true" outlineLevel="0" collapsed="false">
      <c r="A232" s="8" t="n">
        <v>230</v>
      </c>
      <c r="B232" s="28" t="n">
        <v>45400</v>
      </c>
      <c r="C232" s="8" t="s">
        <v>3</v>
      </c>
      <c r="D232" s="5" t="n">
        <v>393.8</v>
      </c>
      <c r="E232" s="5" t="n">
        <v>399.9</v>
      </c>
      <c r="F232" s="5" t="n">
        <v>392.3</v>
      </c>
      <c r="G232" s="5" t="n">
        <v>398.1</v>
      </c>
      <c r="H232" s="5" t="n">
        <v>393.8</v>
      </c>
      <c r="I232" s="5" t="n">
        <v>399.4</v>
      </c>
      <c r="K232" s="29" t="n">
        <v>40.036</v>
      </c>
      <c r="L232" s="30" t="n">
        <v>101666</v>
      </c>
    </row>
    <row r="233" customFormat="false" ht="15" hidden="false" customHeight="true" outlineLevel="0" collapsed="false">
      <c r="A233" s="8" t="n">
        <v>231</v>
      </c>
      <c r="B233" s="28" t="n">
        <v>45399</v>
      </c>
      <c r="C233" s="8" t="s">
        <v>3</v>
      </c>
      <c r="D233" s="5" t="n">
        <v>399.4</v>
      </c>
      <c r="E233" s="5" t="n">
        <v>401</v>
      </c>
      <c r="F233" s="5" t="n">
        <v>399.1</v>
      </c>
      <c r="G233" s="5" t="n">
        <v>399.6</v>
      </c>
      <c r="H233" s="5" t="n">
        <v>399.4</v>
      </c>
      <c r="I233" s="5" t="n">
        <v>399.6</v>
      </c>
      <c r="K233" s="29" t="n">
        <v>35.93</v>
      </c>
      <c r="L233" s="30" t="n">
        <v>89960</v>
      </c>
    </row>
    <row r="234" customFormat="false" ht="15" hidden="false" customHeight="true" outlineLevel="0" collapsed="false">
      <c r="A234" s="8" t="n">
        <v>232</v>
      </c>
      <c r="B234" s="28" t="n">
        <v>45398</v>
      </c>
      <c r="C234" s="8" t="s">
        <v>3</v>
      </c>
      <c r="D234" s="5" t="n">
        <v>399.6</v>
      </c>
      <c r="E234" s="5" t="n">
        <v>400.9</v>
      </c>
      <c r="F234" s="5" t="n">
        <v>396.2</v>
      </c>
      <c r="G234" s="5" t="n">
        <v>400</v>
      </c>
      <c r="H234" s="5" t="n">
        <v>399.6</v>
      </c>
      <c r="I234" s="5" t="n">
        <v>399.5</v>
      </c>
      <c r="K234" s="29" t="n">
        <v>24.395</v>
      </c>
      <c r="L234" s="30" t="n">
        <v>61049</v>
      </c>
    </row>
    <row r="235" customFormat="false" ht="15" hidden="false" customHeight="true" outlineLevel="0" collapsed="false">
      <c r="A235" s="8" t="n">
        <v>233</v>
      </c>
      <c r="B235" s="28" t="n">
        <v>45397</v>
      </c>
      <c r="C235" s="8" t="s">
        <v>3</v>
      </c>
      <c r="D235" s="5" t="n">
        <v>399.5</v>
      </c>
      <c r="E235" s="5" t="n">
        <v>410</v>
      </c>
      <c r="F235" s="5" t="n">
        <v>398.1</v>
      </c>
      <c r="G235" s="5" t="n">
        <v>410</v>
      </c>
      <c r="H235" s="5" t="n">
        <v>399.5</v>
      </c>
      <c r="I235" s="5" t="n">
        <v>408.3</v>
      </c>
      <c r="K235" s="29" t="n">
        <v>35.784</v>
      </c>
      <c r="L235" s="30" t="n">
        <v>89572</v>
      </c>
    </row>
    <row r="236" customFormat="false" ht="15" hidden="false" customHeight="true" outlineLevel="0" collapsed="false">
      <c r="A236" s="8" t="n">
        <v>234</v>
      </c>
      <c r="B236" s="28" t="n">
        <v>45391</v>
      </c>
      <c r="C236" s="8" t="s">
        <v>3</v>
      </c>
      <c r="D236" s="5" t="n">
        <v>408.3</v>
      </c>
      <c r="E236" s="5" t="n">
        <v>409.6</v>
      </c>
      <c r="F236" s="5" t="n">
        <v>405.2</v>
      </c>
      <c r="G236" s="5" t="n">
        <v>407</v>
      </c>
      <c r="H236" s="5" t="n">
        <v>408.3</v>
      </c>
      <c r="I236" s="5" t="n">
        <v>405.6</v>
      </c>
      <c r="K236" s="29" t="n">
        <v>38.608</v>
      </c>
      <c r="L236" s="30" t="n">
        <v>94559</v>
      </c>
    </row>
    <row r="237" customFormat="false" ht="15" hidden="false" customHeight="true" outlineLevel="0" collapsed="false">
      <c r="A237" s="8" t="n">
        <v>235</v>
      </c>
      <c r="B237" s="28" t="n">
        <v>45390</v>
      </c>
      <c r="C237" s="8" t="s">
        <v>3</v>
      </c>
      <c r="D237" s="5" t="n">
        <v>405.6</v>
      </c>
      <c r="E237" s="5" t="n">
        <v>406.9</v>
      </c>
      <c r="F237" s="5" t="n">
        <v>402.8</v>
      </c>
      <c r="G237" s="5" t="n">
        <v>405</v>
      </c>
      <c r="H237" s="5" t="n">
        <v>405.6</v>
      </c>
      <c r="I237" s="5" t="n">
        <v>405.6</v>
      </c>
      <c r="K237" s="29" t="n">
        <v>27.029</v>
      </c>
      <c r="L237" s="30" t="n">
        <v>66639</v>
      </c>
    </row>
  </sheetData>
  <mergeCells count="1">
    <mergeCell ref="N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2026-09-09T05:42:05Z</dcterms:created>
  <dc:creator>openpyxl</dc:creator>
  <dc:description/>
  <dc:language>en-US</dc:language>
  <cp:lastModifiedBy/>
  <dcterms:modified xsi:type="dcterms:W3CDTF">2026-09-09T06:03:07Z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